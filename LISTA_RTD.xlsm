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5835" yWindow="0" windowWidth="14655" windowHeight="7875" tabRatio="816" firstSheet="0" activeTab="0" autoFilterDateGrouping="1"/>
  </bookViews>
  <sheets>
    <sheet name="RTD_OPTION_QUOTES" sheetId="1" state="visible" r:id="rId1"/>
    <sheet name="RTD-BTG LISTA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2">
    <font>
      <name val="Aptos Narrow"/>
      <family val="2"/>
      <color theme="1"/>
      <sz val="11"/>
      <scheme val="minor"/>
    </font>
    <font>
      <name val="Aptos"/>
      <family val="2"/>
      <color theme="1"/>
      <sz val="10"/>
    </font>
  </fonts>
  <fills count="2">
    <fill>
      <patternFill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1" fillId="0" borderId="1" applyAlignment="1" pivotButton="0" quotePrefix="0" xfId="0">
      <alignment vertical="center" wrapText="1"/>
    </xf>
    <xf numFmtId="0" fontId="1" fillId="0" borderId="2" applyAlignment="1" pivotButton="0" quotePrefix="0" xfId="0">
      <alignment vertical="center" wrapText="1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O5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  <col width="20" customWidth="1" min="12" max="12"/>
    <col width="20" customWidth="1" min="13" max="13"/>
    <col width="20" customWidth="1" min="14" max="14"/>
    <col width="20" customWidth="1" min="15" max="15"/>
  </cols>
  <sheetData>
    <row r="1">
      <c r="A1" t="inlineStr">
        <is>
          <t>codigo_opcao</t>
        </is>
      </c>
      <c r="B1" t="inlineStr">
        <is>
          <t>ativo_base</t>
        </is>
      </c>
      <c r="C1" t="inlineStr">
        <is>
          <t>call_put</t>
        </is>
      </c>
      <c r="D1" t="inlineStr">
        <is>
          <t>strike</t>
        </is>
      </c>
      <c r="E1" t="inlineStr">
        <is>
          <t>vencimento</t>
        </is>
      </c>
      <c r="F1" t="inlineStr">
        <is>
          <t>ultimo_preco</t>
        </is>
      </c>
      <c r="G1" t="inlineStr">
        <is>
          <t>ultima_quantidade</t>
        </is>
      </c>
      <c r="H1" t="inlineStr">
        <is>
          <t>bid</t>
        </is>
      </c>
      <c r="I1" t="inlineStr">
        <is>
          <t>ask</t>
        </is>
      </c>
      <c r="J1" t="inlineStr">
        <is>
          <t>volume</t>
        </is>
      </c>
      <c r="K1" t="inlineStr">
        <is>
          <t>iv</t>
        </is>
      </c>
      <c r="L1" t="inlineStr">
        <is>
          <t>delta</t>
        </is>
      </c>
      <c r="M1" t="inlineStr">
        <is>
          <t>gamma</t>
        </is>
      </c>
      <c r="N1" t="inlineStr">
        <is>
          <t>theta</t>
        </is>
      </c>
      <c r="O1" t="inlineStr">
        <is>
          <t>vega</t>
        </is>
      </c>
    </row>
    <row r="2">
      <c r="A2" t="inlineStr">
        <is>
          <t>PRIOG800</t>
        </is>
      </c>
      <c r="B2">
        <f>RTD("btg_pro_rtd","","QUOTE.UNDERLYING_SYMBOL",$A2)</f>
        <v/>
      </c>
      <c r="C2">
        <f>RTD("btg_pro_rtd","","QUOTE.OPTION_TYPE",$A2)</f>
        <v/>
      </c>
      <c r="D2">
        <f>RTD("btg_pro_rtd","","QUOTE.STRIKE_PRICE",$A2)</f>
        <v/>
      </c>
      <c r="E2">
        <f>RTD("btg_pro_rtd","","QUOTE.MATURITYDATE",$A2)</f>
        <v/>
      </c>
      <c r="F2">
        <f>RTD("btg_pro_rtd","","QUOTE.LAST_TRADE_PRICE",$A2)</f>
        <v/>
      </c>
      <c r="G2">
        <f>RTD("btg_pro_rtd","","QUOTE.LAST_TRADE_QUANTITY",$A2)</f>
        <v/>
      </c>
      <c r="H2">
        <f>RTD("btg_pro_rtd","","QUOTE.BID_PRICE",$A2)</f>
        <v/>
      </c>
      <c r="I2">
        <f>RTD("btg_pro_rtd","","QUOTE.ASK_PRICE",$A2)</f>
        <v/>
      </c>
      <c r="J2">
        <f>RTD("btg_pro_rtd","","QUOTE.VOLUME",$A2)</f>
        <v/>
      </c>
      <c r="K2">
        <f>RTD("btg_pro_rtd","","QUOTE.IMPLIED_VOLATILITY",$A2)</f>
        <v/>
      </c>
      <c r="L2">
        <f>RTD("btg_pro_rtd","","QUOTE.DELTA",$A2)</f>
        <v/>
      </c>
      <c r="M2">
        <f>RTD("btg_pro_rtd","","QUOTE.GAMMA",$A2)</f>
        <v/>
      </c>
      <c r="N2">
        <f>RTD("btg_pro_rtd","","QUOTE.THETA",$A2)</f>
        <v/>
      </c>
      <c r="O2">
        <f>RTD("btg_pro_rtd","","QUOTE.VEGA",$A2)</f>
        <v/>
      </c>
    </row>
    <row r="3">
      <c r="A3" t="inlineStr">
        <is>
          <t>PRIOH515</t>
        </is>
      </c>
      <c r="B3">
        <f>RTD("btg_pro_rtd","","QUOTE.UNDERLYING_SYMBOL",$A3)</f>
        <v/>
      </c>
      <c r="C3">
        <f>RTD("btg_pro_rtd","","QUOTE.OPTION_TYPE",$A3)</f>
        <v/>
      </c>
      <c r="D3">
        <f>RTD("btg_pro_rtd","","QUOTE.STRIKE_PRICE",$A3)</f>
        <v/>
      </c>
      <c r="E3">
        <f>RTD("btg_pro_rtd","","QUOTE.MATURITYDATE",$A3)</f>
        <v/>
      </c>
      <c r="F3">
        <f>RTD("btg_pro_rtd","","QUOTE.LAST_TRADE_PRICE",$A3)</f>
        <v/>
      </c>
      <c r="G3">
        <f>RTD("btg_pro_rtd","","QUOTE.LAST_TRADE_QUANTITY",$A3)</f>
        <v/>
      </c>
      <c r="H3">
        <f>RTD("btg_pro_rtd","","QUOTE.BID_PRICE",$A3)</f>
        <v/>
      </c>
      <c r="I3">
        <f>RTD("btg_pro_rtd","","QUOTE.ASK_PRICE",$A3)</f>
        <v/>
      </c>
      <c r="J3">
        <f>RTD("btg_pro_rtd","","QUOTE.VOLUME",$A3)</f>
        <v/>
      </c>
      <c r="K3">
        <f>RTD("btg_pro_rtd","","QUOTE.IMPLIED_VOLATILITY",$A3)</f>
        <v/>
      </c>
      <c r="L3">
        <f>RTD("btg_pro_rtd","","QUOTE.DELTA",$A3)</f>
        <v/>
      </c>
      <c r="M3">
        <f>RTD("btg_pro_rtd","","QUOTE.GAMMA",$A3)</f>
        <v/>
      </c>
      <c r="N3">
        <f>RTD("btg_pro_rtd","","QUOTE.THETA",$A3)</f>
        <v/>
      </c>
      <c r="O3">
        <f>RTD("btg_pro_rtd","","QUOTE.VEGA",$A3)</f>
        <v/>
      </c>
    </row>
    <row r="4">
      <c r="A4" t="inlineStr">
        <is>
          <t>PRIOT700</t>
        </is>
      </c>
      <c r="B4">
        <f>RTD("btg_pro_rtd","","QUOTE.UNDERLYING_SYMBOL",$A4)</f>
        <v/>
      </c>
      <c r="C4">
        <f>RTD("btg_pro_rtd","","QUOTE.OPTION_TYPE",$A4)</f>
        <v/>
      </c>
      <c r="D4">
        <f>RTD("btg_pro_rtd","","QUOTE.STRIKE_PRICE",$A4)</f>
        <v/>
      </c>
      <c r="E4">
        <f>RTD("btg_pro_rtd","","QUOTE.MATURITYDATE",$A4)</f>
        <v/>
      </c>
      <c r="F4">
        <f>RTD("btg_pro_rtd","","QUOTE.LAST_TRADE_PRICE",$A4)</f>
        <v/>
      </c>
      <c r="G4">
        <f>RTD("btg_pro_rtd","","QUOTE.LAST_TRADE_QUANTITY",$A4)</f>
        <v/>
      </c>
      <c r="H4">
        <f>RTD("btg_pro_rtd","","QUOTE.BID_PRICE",$A4)</f>
        <v/>
      </c>
      <c r="I4">
        <f>RTD("btg_pro_rtd","","QUOTE.ASK_PRICE",$A4)</f>
        <v/>
      </c>
      <c r="J4">
        <f>RTD("btg_pro_rtd","","QUOTE.VOLUME",$A4)</f>
        <v/>
      </c>
      <c r="K4">
        <f>RTD("btg_pro_rtd","","QUOTE.IMPLIED_VOLATILITY",$A4)</f>
        <v/>
      </c>
      <c r="L4">
        <f>RTD("btg_pro_rtd","","QUOTE.DELTA",$A4)</f>
        <v/>
      </c>
      <c r="M4">
        <f>RTD("btg_pro_rtd","","QUOTE.GAMMA",$A4)</f>
        <v/>
      </c>
      <c r="N4">
        <f>RTD("btg_pro_rtd","","QUOTE.THETA",$A4)</f>
        <v/>
      </c>
      <c r="O4">
        <f>RTD("btg_pro_rtd","","QUOTE.VEGA",$A4)</f>
        <v/>
      </c>
    </row>
    <row r="5">
      <c r="A5" t="inlineStr">
        <is>
          <t>PRIOS525</t>
        </is>
      </c>
      <c r="B5">
        <f>RTD("btg_pro_rtd","","QUOTE.UNDERLYING_SYMBOL",$A5)</f>
        <v/>
      </c>
      <c r="C5">
        <f>RTD("btg_pro_rtd","","QUOTE.OPTION_TYPE",$A5)</f>
        <v/>
      </c>
      <c r="D5">
        <f>RTD("btg_pro_rtd","","QUOTE.STRIKE_PRICE",$A5)</f>
        <v/>
      </c>
      <c r="E5">
        <f>RTD("btg_pro_rtd","","QUOTE.MATURITYDATE",$A5)</f>
        <v/>
      </c>
      <c r="F5">
        <f>RTD("btg_pro_rtd","","QUOTE.LAST_TRADE_PRICE",$A5)</f>
        <v/>
      </c>
      <c r="G5">
        <f>RTD("btg_pro_rtd","","QUOTE.LAST_TRADE_QUANTITY",$A5)</f>
        <v/>
      </c>
      <c r="H5">
        <f>RTD("btg_pro_rtd","","QUOTE.BID_PRICE",$A5)</f>
        <v/>
      </c>
      <c r="I5">
        <f>RTD("btg_pro_rtd","","QUOTE.ASK_PRICE",$A5)</f>
        <v/>
      </c>
      <c r="J5">
        <f>RTD("btg_pro_rtd","","QUOTE.VOLUME",$A5)</f>
        <v/>
      </c>
      <c r="K5">
        <f>RTD("btg_pro_rtd","","QUOTE.IMPLIED_VOLATILITY",$A5)</f>
        <v/>
      </c>
      <c r="L5">
        <f>RTD("btg_pro_rtd","","QUOTE.DELTA",$A5)</f>
        <v/>
      </c>
      <c r="M5">
        <f>RTD("btg_pro_rtd","","QUOTE.GAMMA",$A5)</f>
        <v/>
      </c>
      <c r="N5">
        <f>RTD("btg_pro_rtd","","QUOTE.THETA",$A5)</f>
        <v/>
      </c>
      <c r="O5">
        <f>RTD("btg_pro_rtd","","QUOTE.VEGA",$A5)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2:B95"/>
  <sheetViews>
    <sheetView tabSelected="1" workbookViewId="0">
      <selection activeCell="G12" sqref="G12"/>
    </sheetView>
  </sheetViews>
  <sheetFormatPr baseColWidth="8" defaultRowHeight="15"/>
  <cols>
    <col width="42.42578125" customWidth="1" min="1" max="1"/>
    <col width="18.42578125" customWidth="1" min="2" max="2"/>
  </cols>
  <sheetData>
    <row r="1" ht="14.25" customHeight="1" thickBot="1"/>
    <row r="2" ht="14.25" customHeight="1" thickBot="1">
      <c r="A2" s="1" t="inlineStr">
        <is>
          <t>BPAC11</t>
        </is>
      </c>
      <c r="B2" s="1" t="inlineStr">
        <is>
          <t>ATIVO</t>
        </is>
      </c>
    </row>
    <row r="3" ht="14.25" customHeight="1" thickBot="1">
      <c r="A3" s="2" t="inlineStr">
        <is>
          <t>Melhor Oferta de Compra (Bid)</t>
        </is>
      </c>
      <c r="B3" s="2">
        <f>RTD("btg_pro_rtd","","QUOTE.BID_PRICE","BPAC11")</f>
        <v/>
      </c>
    </row>
    <row r="4" ht="14.25" customHeight="1" thickBot="1">
      <c r="A4" s="2" t="inlineStr">
        <is>
          <t>Melhor Oferta de Venda (Ask)</t>
        </is>
      </c>
      <c r="B4" s="2">
        <f>RTD("btg_pro_rtd","","QUOTE.ASK_PRICE","BPAC11")</f>
        <v/>
      </c>
    </row>
    <row r="5" ht="14.25" customHeight="1" thickBot="1">
      <c r="A5" s="2" t="inlineStr">
        <is>
          <t>Variação Percentual</t>
        </is>
      </c>
      <c r="B5" s="2">
        <f>RTD("btg_pro_rtd","","QUOTE.CHGPERCENT","BPAC11")</f>
        <v/>
      </c>
    </row>
    <row r="6" ht="14.25" customHeight="1" thickBot="1">
      <c r="A6" s="2" t="inlineStr">
        <is>
          <t>Preço Alvo (Target)</t>
        </is>
      </c>
      <c r="B6" s="2">
        <f>RTD("btg_pro_rtd","","QUOTE.TARGET_PRICE","BPAC11")</f>
        <v/>
      </c>
    </row>
    <row r="7" ht="14.25" customHeight="1" thickBot="1">
      <c r="A7" s="2" t="inlineStr">
        <is>
          <t>Upside em Relação ao Alvo</t>
        </is>
      </c>
      <c r="B7" s="2">
        <f>RTD("btg_pro_rtd","","QUOTE.UPSIDE","BPAC11")</f>
        <v/>
      </c>
    </row>
    <row r="8" ht="14.25" customHeight="1" thickBot="1">
      <c r="A8" s="2" t="inlineStr">
        <is>
          <t>Valor de Mercado</t>
        </is>
      </c>
      <c r="B8" s="2">
        <f>RTD("btg_pro_rtd","","QUOTE.MARKET_CAPITAL","BPAC11")</f>
        <v/>
      </c>
    </row>
    <row r="9" ht="14.25" customHeight="1" thickBot="1">
      <c r="A9" s="2" t="inlineStr">
        <is>
          <t>Último ID de Negociação</t>
        </is>
      </c>
      <c r="B9" s="2">
        <f>RTD("btg_pro_rtd","","QUOTE.LAST_TRADE_ID","BPAC11")</f>
        <v/>
      </c>
    </row>
    <row r="10" ht="14.25" customHeight="1" thickBot="1">
      <c r="A10" s="2" t="inlineStr">
        <is>
          <t>Último Preço Negociado</t>
        </is>
      </c>
      <c r="B10" s="2">
        <f>RTD("btg_pro_rtd","","QUOTE.LAST_TRADE_PRICE","BPAC11")</f>
        <v/>
      </c>
    </row>
    <row r="11" ht="14.25" customHeight="1" thickBot="1">
      <c r="A11" s="2" t="inlineStr">
        <is>
          <t>Última Quantidade Negociada</t>
        </is>
      </c>
      <c r="B11" s="2">
        <f>RTD("btg_pro_rtd","","QUOTE.LAST_TRADE_QUANTITY","BPAC11")</f>
        <v/>
      </c>
    </row>
    <row r="12" ht="14.25" customHeight="1" thickBot="1">
      <c r="A12" s="2" t="inlineStr">
        <is>
          <t>Melhor Quantidade de Compra (Bid)</t>
        </is>
      </c>
      <c r="B12" s="2">
        <f>RTD("btg_pro_rtd","","QUOTE.BID_QUANTITY","BPAC11")</f>
        <v/>
      </c>
    </row>
    <row r="13" ht="14.25" customHeight="1" thickBot="1">
      <c r="A13" s="2" t="inlineStr">
        <is>
          <t>Melhor Quantidade de Venda (Ask)</t>
        </is>
      </c>
      <c r="B13" s="2">
        <f>RTD("btg_pro_rtd","","QUOTE.ASK_QUANTITY","BPAC11")</f>
        <v/>
      </c>
    </row>
    <row r="14" ht="14.25" customHeight="1" thickBot="1">
      <c r="A14" s="2" t="inlineStr">
        <is>
          <t>Fechamento</t>
        </is>
      </c>
      <c r="B14" s="2">
        <f>RTD("btg_pro_rtd","","QUOTE.CLOSE","BPAC11")</f>
        <v/>
      </c>
    </row>
    <row r="15" ht="14.25" customHeight="1" thickBot="1">
      <c r="A15" s="2" t="inlineStr">
        <is>
          <t>Fech. Anterior</t>
        </is>
      </c>
      <c r="B15" s="2">
        <f>RTD("btg_pro_rtd","","QUOTE.PREV_CLOSE","BPAC11")</f>
        <v/>
      </c>
    </row>
    <row r="16" ht="14.25" customHeight="1" thickBot="1">
      <c r="A16" s="2" t="inlineStr">
        <is>
          <t>Abertura</t>
        </is>
      </c>
      <c r="B16" s="2">
        <f>RTD("btg_pro_rtd","","QUOTE.OPEN","BPAC11")</f>
        <v/>
      </c>
    </row>
    <row r="17" ht="14.25" customHeight="1" thickBot="1">
      <c r="A17" s="2" t="inlineStr">
        <is>
          <t>Ajuste</t>
        </is>
      </c>
      <c r="B17" s="2">
        <f>RTD("btg_pro_rtd","","QUOTE.ADJUST","BPAC11")</f>
        <v/>
      </c>
    </row>
    <row r="18" ht="14.25" customHeight="1" thickBot="1">
      <c r="A18" s="2" t="inlineStr">
        <is>
          <t>Máxima</t>
        </is>
      </c>
      <c r="B18" s="2">
        <f>RTD("btg_pro_rtd","","QUOTE.HIGH","BPAC11")</f>
        <v/>
      </c>
    </row>
    <row r="19" ht="14.25" customHeight="1" thickBot="1">
      <c r="A19" s="2" t="inlineStr">
        <is>
          <t>Mínima</t>
        </is>
      </c>
      <c r="B19" s="2">
        <f>RTD("btg_pro_rtd","","QUOTE.LOW","BPAC11")</f>
        <v/>
      </c>
    </row>
    <row r="20" ht="14.25" customHeight="1" thickBot="1">
      <c r="A20" s="2" t="inlineStr">
        <is>
          <t>Variação</t>
        </is>
      </c>
      <c r="B20" s="2">
        <f>RTD("btg_pro_rtd","","QUOTE.CHANGE","BPAC11")</f>
        <v/>
      </c>
    </row>
    <row r="21" ht="14.25" customHeight="1" thickBot="1">
      <c r="A21" s="2" t="inlineStr">
        <is>
          <t>Variação %</t>
        </is>
      </c>
      <c r="B21" s="2">
        <f>RTD("btg_pro_rtd","","QUOTE.CHANGE_PERCENT","BPAC11")</f>
        <v/>
      </c>
    </row>
    <row r="22" ht="14.25" customHeight="1" thickBot="1">
      <c r="A22" s="2" t="inlineStr">
        <is>
          <t>Negócios</t>
        </is>
      </c>
      <c r="B22" s="2">
        <f>RTD("btg_pro_rtd","","QUOTE.NUM_TRADES","BPAC11")</f>
        <v/>
      </c>
    </row>
    <row r="23" ht="14.25" customHeight="1" thickBot="1">
      <c r="A23" s="2" t="inlineStr">
        <is>
          <t>Quantidade</t>
        </is>
      </c>
      <c r="B23" s="2">
        <f>RTD("btg_pro_rtd","","QUOTE.QUANTITY","BPAC11")</f>
        <v/>
      </c>
    </row>
    <row r="24" ht="14.25" customHeight="1" thickBot="1">
      <c r="A24" s="2" t="inlineStr">
        <is>
          <t>Volume</t>
        </is>
      </c>
      <c r="B24" s="2">
        <f>RTD("btg_pro_rtd","","QUOTE.VOLUME","BPAC11")</f>
        <v/>
      </c>
    </row>
    <row r="25" ht="14.25" customHeight="1" thickBot="1">
      <c r="A25" s="2" t="inlineStr">
        <is>
          <t>VWAP</t>
        </is>
      </c>
      <c r="B25" s="2">
        <f>RTD("btg_pro_rtd","","QUOTE.VWAP","BPAC11")</f>
        <v/>
      </c>
    </row>
    <row r="26" ht="14.25" customHeight="1" thickBot="1">
      <c r="A26" s="2" t="inlineStr">
        <is>
          <t>Preço de Ajuste</t>
        </is>
      </c>
      <c r="B26" s="2">
        <f>RTD("btg_pro_rtd","","QUOTE.SETTLEMENT_PRICE","BPAC11")</f>
        <v/>
      </c>
    </row>
    <row r="27" ht="14.25" customHeight="1" thickBot="1">
      <c r="A27" s="2" t="inlineStr">
        <is>
          <t>Preço de Ajuste Anterior</t>
        </is>
      </c>
      <c r="B27" s="2">
        <f>RTD("btg_pro_rtd","","QUOTE.PREV_SETTLEMENT_PRICE","BPAC11")</f>
        <v/>
      </c>
    </row>
    <row r="28" ht="14.25" customHeight="1" thickBot="1">
      <c r="A28" s="2" t="inlineStr">
        <is>
          <t>Preço Teórico</t>
        </is>
      </c>
      <c r="B28" s="2">
        <f>RTD("btg_pro_rtd","","QUOTE.AUCTION_THEORETICAL_PRICE","BPAC11")</f>
        <v/>
      </c>
    </row>
    <row r="29" ht="14.25" customHeight="1" thickBot="1">
      <c r="A29" s="2" t="inlineStr">
        <is>
          <t>% Variação Teórica</t>
        </is>
      </c>
      <c r="B29" s="2">
        <f>RTD("btg_pro_rtd","","QUOTE.AUCTION_THEORETICAL_CHANGE_PERCENT","BPAC11")</f>
        <v/>
      </c>
    </row>
    <row r="30" ht="14.25" customHeight="1" thickBot="1">
      <c r="A30" s="2" t="inlineStr">
        <is>
          <t>Quantidade Teórica do Leilão</t>
        </is>
      </c>
      <c r="B30" s="2">
        <f>RTD("btg_pro_rtd","","QUOTE.AUCTION_THEORETICAL_QUANTITY","BPAC11")</f>
        <v/>
      </c>
    </row>
    <row r="31" ht="14.25" customHeight="1" thickBot="1">
      <c r="A31" s="2" t="inlineStr">
        <is>
          <t>Quantidade de Desbalanceamento do Leilão</t>
        </is>
      </c>
      <c r="B31" s="2">
        <f>RTD("btg_pro_rtd","","QUOTE.AUCTION_IMBALANCE_QUANTITY","BPAC11")</f>
        <v/>
      </c>
    </row>
    <row r="32" ht="14.25" customHeight="1" thickBot="1">
      <c r="A32" s="2" t="inlineStr">
        <is>
          <t>Túnel Superior</t>
        </is>
      </c>
      <c r="B32" s="2">
        <f>RTD("btg_pro_rtd","","QUOTE.TUNNEL_UPPER","BPAC11")</f>
        <v/>
      </c>
    </row>
    <row r="33" ht="14.25" customHeight="1" thickBot="1">
      <c r="A33" s="2" t="inlineStr">
        <is>
          <t>Túnel Inferior</t>
        </is>
      </c>
      <c r="B33" s="2">
        <f>RTD("btg_pro_rtd","","QUOTE.TUNNEL_LOWER","BPAC11")</f>
        <v/>
      </c>
    </row>
    <row r="34" ht="14.25" customHeight="1" thickBot="1">
      <c r="A34" s="2" t="inlineStr">
        <is>
          <t>Volatilidade Histórica</t>
        </is>
      </c>
      <c r="B34" s="2">
        <f>RTD("btg_pro_rtd","","QUOTE.HISTORICAL_VOLATILITY","BPAC11")</f>
        <v/>
      </c>
    </row>
    <row r="35" ht="14.25" customHeight="1" thickBot="1">
      <c r="A35" s="2" t="inlineStr">
        <is>
          <t>Volatilidade Implícita</t>
        </is>
      </c>
      <c r="B35" s="2">
        <f>RTD("btg_pro_rtd","","QUOTE.IMPLIED_VOLATILITY","BPAC11")</f>
        <v/>
      </c>
    </row>
    <row r="36" ht="14.25" customHeight="1" thickBot="1">
      <c r="A36" s="2" t="inlineStr">
        <is>
          <t>Beta</t>
        </is>
      </c>
      <c r="B36" s="2">
        <f>RTD("btg_pro_rtd","","QUOTE.BETA","BPAC11")</f>
        <v/>
      </c>
    </row>
    <row r="37" ht="14.25" customHeight="1" thickBot="1">
      <c r="A37" s="2" t="inlineStr">
        <is>
          <t>Correlação</t>
        </is>
      </c>
      <c r="B37" s="2">
        <f>RTD("btg_pro_rtd","","QUOTE.CORRELATION","BPAC11")</f>
        <v/>
      </c>
    </row>
    <row r="38" ht="14.25" customHeight="1" thickBot="1">
      <c r="A38" s="2" t="inlineStr">
        <is>
          <t>Semana Até Fechamento Anteiror</t>
        </is>
      </c>
      <c r="B38" s="2">
        <f>RTD("btg_pro_rtd","","QUOTE.WEEK_PREV_CLOSE","BPAC11")</f>
        <v/>
      </c>
    </row>
    <row r="39" ht="14.25" customHeight="1" thickBot="1">
      <c r="A39" s="2" t="inlineStr">
        <is>
          <t>Semana Até Alta</t>
        </is>
      </c>
      <c r="B39" s="2">
        <f>RTD("btg_pro_rtd","","QUOTE.WEEK_HIGH","BPAC11")</f>
        <v/>
      </c>
    </row>
    <row r="40" ht="14.25" customHeight="1" thickBot="1">
      <c r="A40" s="2" t="inlineStr">
        <is>
          <t>Semana até Baixa</t>
        </is>
      </c>
      <c r="B40" s="2">
        <f>RTD("btg_pro_rtd","","QUOTE.WEEK_LOW","BPAC11")</f>
        <v/>
      </c>
    </row>
    <row r="41" ht="14.25" customHeight="1" thickBot="1">
      <c r="A41" s="2" t="inlineStr">
        <is>
          <t>Semana Até Volume Médio</t>
        </is>
      </c>
      <c r="B41" s="2">
        <f>RTD("btg_pro_rtd","","QUOTE.WEEK_AVG_VOLUME","BPAC11")</f>
        <v/>
      </c>
    </row>
    <row r="42" ht="14.25" customHeight="1" thickBot="1">
      <c r="A42" s="2" t="inlineStr">
        <is>
          <t>Semana Até Variação Percentual</t>
        </is>
      </c>
      <c r="B42" s="2">
        <f>RTD("btg_pro_rtd","","QUOTE.WEEK_CHANGE_PERCENT","BPAC11")</f>
        <v/>
      </c>
    </row>
    <row r="43" ht="14.25" customHeight="1" thickBot="1">
      <c r="A43" s="2" t="inlineStr">
        <is>
          <t>Mês Até fechamento Anterior</t>
        </is>
      </c>
      <c r="B43" s="2">
        <f>RTD("btg_pro_rtd","","QUOTE.MONTH_PREV_CLOSE","BPAC11")</f>
        <v/>
      </c>
    </row>
    <row r="44" ht="14.25" customHeight="1" thickBot="1">
      <c r="A44" s="2" t="inlineStr">
        <is>
          <t>Mês Até Alta</t>
        </is>
      </c>
      <c r="B44" s="2">
        <f>RTD("btg_pro_rtd","","QUOTE.MONTH_HIGH","BPAC11")</f>
        <v/>
      </c>
    </row>
    <row r="45" ht="14.25" customHeight="1" thickBot="1">
      <c r="A45" s="2" t="inlineStr">
        <is>
          <t>Mês Até Baixa</t>
        </is>
      </c>
      <c r="B45" s="2">
        <f>RTD("btg_pro_rtd","","QUOTE.MONTH_LOW","BPAC11")</f>
        <v/>
      </c>
    </row>
    <row r="46" ht="14.25" customHeight="1" thickBot="1">
      <c r="A46" s="2" t="inlineStr">
        <is>
          <t>Mês Até Volume Médio</t>
        </is>
      </c>
      <c r="B46" s="2">
        <f>RTD("btg_pro_rtd","","QUOTE.MONTH_AVG_VOLUME","BPAC11")</f>
        <v/>
      </c>
    </row>
    <row r="47" ht="14.25" customHeight="1" thickBot="1">
      <c r="A47" s="2" t="inlineStr">
        <is>
          <t>Mês Até Variação Percentual</t>
        </is>
      </c>
      <c r="B47" s="2">
        <f>RTD("btg_pro_rtd","","QUOTE.MONTH_CHANGE_PERCENT","BPAC11")</f>
        <v/>
      </c>
    </row>
    <row r="48" ht="14.25" customHeight="1" thickBot="1">
      <c r="A48" s="2" t="inlineStr">
        <is>
          <t>Preço/Lucro</t>
        </is>
      </c>
      <c r="B48" s="2">
        <f>RTD("btg_pro_rtd","","QUOTE.PRICE_TO_EARNINGS","BPAC11")</f>
        <v/>
      </c>
    </row>
    <row r="49" ht="14.25" customHeight="1" thickBot="1">
      <c r="A49" s="2" t="inlineStr">
        <is>
          <t>Preço/Valor Patrimonial</t>
        </is>
      </c>
      <c r="B49" s="2">
        <f>RTD("btg_pro_rtd","","QUOTE.PRICE_TO_BOOK","BPAC11")</f>
        <v/>
      </c>
    </row>
    <row r="50" ht="14.25" customHeight="1" thickBot="1">
      <c r="A50" s="2" t="inlineStr">
        <is>
          <t>Lucro Por Ação</t>
        </is>
      </c>
      <c r="B50" s="2">
        <f>RTD("btg_pro_rtd","","QUOTE.EARNINGS_PER_SHARE","BPAC11")</f>
        <v/>
      </c>
    </row>
    <row r="51" ht="14.25" customHeight="1" thickBot="1">
      <c r="A51" s="2" t="inlineStr">
        <is>
          <t>Valor Patrimonial por Ação</t>
        </is>
      </c>
      <c r="B51" s="2">
        <f>RTD("btg_pro_rtd","","QUOTE.BOOKVALUE_PER_SHARE","BPAC11")</f>
        <v/>
      </c>
    </row>
    <row r="52" ht="14.25" customHeight="1" thickBot="1">
      <c r="A52" s="2" t="inlineStr">
        <is>
          <t>Razão Atual</t>
        </is>
      </c>
      <c r="B52" s="2">
        <f>RTD("btg_pro_rtd","","QUOTE.CURRENT_RATIO","BPAC11")</f>
        <v/>
      </c>
    </row>
    <row r="53" ht="14.25" customHeight="1" thickBot="1">
      <c r="A53" s="2" t="inlineStr">
        <is>
          <t>Márgem Liquida</t>
        </is>
      </c>
      <c r="B53" s="2">
        <f>RTD("btg_pro_rtd","","QUOTE.NET_MARGIN","BPAC11")</f>
        <v/>
      </c>
    </row>
    <row r="54" ht="14.25" customHeight="1" thickBot="1">
      <c r="A54" s="2" t="inlineStr">
        <is>
          <t>Preço/Vendas</t>
        </is>
      </c>
      <c r="B54" s="2">
        <f>RTD("btg_pro_rtd","","QUOTE.PRICE_TO_SALES","BPAC11")</f>
        <v/>
      </c>
    </row>
    <row r="55" ht="14.25" customHeight="1" thickBot="1">
      <c r="A55" s="2" t="inlineStr">
        <is>
          <t>Vendas por Ação</t>
        </is>
      </c>
      <c r="B55" s="2">
        <f>RTD("btg_pro_rtd","","QUOTE.SALES_PER_SHARE","BPAC11")</f>
        <v/>
      </c>
    </row>
    <row r="56" ht="14.25" customHeight="1" thickBot="1">
      <c r="A56" s="2" t="inlineStr">
        <is>
          <t>Capitalização de Mercado D0</t>
        </is>
      </c>
      <c r="B56" s="2">
        <f>RTD("btg_pro_rtd","","QUOTE.MARKET_CAPITAL_D0","BPAC11")</f>
        <v/>
      </c>
    </row>
    <row r="57" ht="14.25" customHeight="1" thickBot="1">
      <c r="A57" s="2" t="inlineStr">
        <is>
          <t>Juros no Vencimento</t>
        </is>
      </c>
      <c r="B57" s="2">
        <f>RTD("btg_pro_rtd","","QUOTE.INTEREST","BPAC11")</f>
        <v/>
      </c>
    </row>
    <row r="58" ht="14.25" customHeight="1" thickBot="1">
      <c r="A58" s="2" t="inlineStr">
        <is>
          <t>Preço do Ativo Objeto</t>
        </is>
      </c>
      <c r="B58" s="2">
        <f>RTD("btg_pro_rtd","","QUOTE.UNDERLYING_PRICE","BPAC11")</f>
        <v/>
      </c>
    </row>
    <row r="59" ht="14.25" customHeight="1" thickBot="1">
      <c r="A59" s="2" t="inlineStr">
        <is>
          <t>Volatilidade</t>
        </is>
      </c>
      <c r="B59" s="2">
        <f>RTD("btg_pro_rtd","","QUOTE.VOLATILITY","BPAC11")</f>
        <v/>
      </c>
    </row>
    <row r="60" ht="14.25" customHeight="1" thickBot="1">
      <c r="A60" s="2" t="inlineStr">
        <is>
          <t>Delta</t>
        </is>
      </c>
      <c r="B60" s="2">
        <f>RTD("btg_pro_rtd","","QUOTE.DELTA","BPAC11")</f>
        <v/>
      </c>
    </row>
    <row r="61" ht="14.25" customHeight="1" thickBot="1">
      <c r="A61" s="2" t="inlineStr">
        <is>
          <t>Gamma</t>
        </is>
      </c>
      <c r="B61" s="2">
        <f>RTD("btg_pro_rtd","","QUOTE.GAMMA","BPAC11")</f>
        <v/>
      </c>
    </row>
    <row r="62" ht="14.25" customHeight="1" thickBot="1">
      <c r="A62" s="2" t="inlineStr">
        <is>
          <t>Theta</t>
        </is>
      </c>
      <c r="B62" s="2">
        <f>RTD("btg_pro_rtd","","QUOTE.THETA","BPAC11")</f>
        <v/>
      </c>
    </row>
    <row r="63" ht="14.25" customHeight="1" thickBot="1">
      <c r="A63" s="2" t="inlineStr">
        <is>
          <t>Vega</t>
        </is>
      </c>
      <c r="B63" s="2">
        <f>RTD("btg_pro_rtd","","QUOTE.VEGA","BPAC11")</f>
        <v/>
      </c>
    </row>
    <row r="64" ht="14.25" customHeight="1" thickBot="1">
      <c r="A64" s="2" t="inlineStr">
        <is>
          <t>RHO</t>
        </is>
      </c>
      <c r="B64" s="2">
        <f>RTD("btg_pro_rtd","","QUOTE.RHO","BPAC11")</f>
        <v/>
      </c>
    </row>
    <row r="65" ht="14.25" customHeight="1" thickBot="1">
      <c r="A65" s="2" t="inlineStr">
        <is>
          <t>Preço da Opção Black&amp;Scholes</t>
        </is>
      </c>
      <c r="B65" s="2">
        <f>RTD("btg_pro_rtd","","QUOTE.OPTION_PRICE","BPAC11")</f>
        <v/>
      </c>
    </row>
    <row r="66" ht="14.25" customHeight="1" thickBot="1">
      <c r="A66" s="2" t="inlineStr">
        <is>
          <t>Preço da Opção Livrp</t>
        </is>
      </c>
      <c r="B66" s="2">
        <f>RTD("btg_pro_rtd","","QUOTE.BOOK_PRICE","BPAC11")</f>
        <v/>
      </c>
    </row>
    <row r="67" ht="14.25" customHeight="1" thickBot="1">
      <c r="A67" s="2" t="inlineStr">
        <is>
          <t>Valor Intrínseco</t>
        </is>
      </c>
      <c r="B67" s="2">
        <f>RTD("btg_pro_rtd","","QUOTE.INTRINSIC_VALUE","BPAC11")</f>
        <v/>
      </c>
    </row>
    <row r="68" ht="14.25" customHeight="1" thickBot="1">
      <c r="A68" s="2" t="inlineStr">
        <is>
          <t>Valor Extrínseco</t>
        </is>
      </c>
      <c r="B68" s="2">
        <f>RTD("btg_pro_rtd","","QUOTE.EXTRINSIC_VALUE","BPAC11")</f>
        <v/>
      </c>
    </row>
    <row r="69" ht="14.25" customHeight="1" thickBot="1">
      <c r="A69" s="2" t="inlineStr">
        <is>
          <t>Prêmio %</t>
        </is>
      </c>
      <c r="B69" s="2">
        <f>RTD("btg_pro_rtd","","QUOTE.PREMIUM_PCT","BPAC11")</f>
        <v/>
      </c>
    </row>
    <row r="70" ht="14.25" customHeight="1" thickBot="1">
      <c r="A70" s="2" t="inlineStr">
        <is>
          <t>Moneyness %</t>
        </is>
      </c>
      <c r="B70" s="2">
        <f>RTD("btg_pro_rtd","","QUOTE.MONEYNESS_PCT","BPAC11")</f>
        <v/>
      </c>
    </row>
    <row r="71" ht="14.25" customHeight="1" thickBot="1">
      <c r="A71" s="2" t="inlineStr">
        <is>
          <t>EMA5</t>
        </is>
      </c>
      <c r="B71" s="2">
        <f>RTD("btg_pro_rtd","","QUOTE.EMA5","BPAC11")</f>
        <v/>
      </c>
    </row>
    <row r="72" ht="14.25" customHeight="1" thickBot="1">
      <c r="A72" s="2" t="inlineStr">
        <is>
          <t>EMA20</t>
        </is>
      </c>
      <c r="B72" s="2">
        <f>RTD("btg_pro_rtd","","QUOTE.EMA20","BPAC11")</f>
        <v/>
      </c>
    </row>
    <row r="73" ht="14.25" customHeight="1" thickBot="1">
      <c r="A73" s="2" t="inlineStr">
        <is>
          <t>EMA200</t>
        </is>
      </c>
      <c r="B73" s="2">
        <f>RTD("btg_pro_rtd","","QUOTE.EMA200","BPAC11")</f>
        <v/>
      </c>
    </row>
    <row r="74" ht="14.25" customHeight="1" thickBot="1">
      <c r="A74" s="2" t="inlineStr">
        <is>
          <t>EMA12</t>
        </is>
      </c>
      <c r="B74" s="2">
        <f>RTD("btg_pro_rtd","","QUOTE.EMA12","BPAC11")</f>
        <v/>
      </c>
    </row>
    <row r="75" ht="14.25" customHeight="1" thickBot="1">
      <c r="A75" s="2" t="inlineStr">
        <is>
          <t>EMA26</t>
        </is>
      </c>
      <c r="B75" s="2">
        <f>RTD("btg_pro_rtd","","QUOTE.EMA26","BPAC11")</f>
        <v/>
      </c>
    </row>
    <row r="76" ht="14.25" customHeight="1" thickBot="1">
      <c r="A76" s="2" t="inlineStr">
        <is>
          <t>MACD</t>
        </is>
      </c>
      <c r="B76" s="2">
        <f>RTD("btg_pro_rtd","","QUOTE.MACD","BPAC11")</f>
        <v/>
      </c>
    </row>
    <row r="77" ht="14.25" customHeight="1" thickBot="1">
      <c r="A77" s="2" t="inlineStr">
        <is>
          <t>MACD Sinal</t>
        </is>
      </c>
      <c r="B77" s="2">
        <f>RTD("btg_pro_rtd","","QUOTE.MACD_SIGNAL","BPAC11")</f>
        <v/>
      </c>
    </row>
    <row r="78" ht="14.25" customHeight="1" thickBot="1">
      <c r="A78" s="2" t="inlineStr">
        <is>
          <t>MACD Histograma</t>
        </is>
      </c>
      <c r="B78" s="2">
        <f>RTD("btg_pro_rtd","","QUOTE.MACD_HISTOGRAM","BPAC11")</f>
        <v/>
      </c>
    </row>
    <row r="79" ht="14.25" customHeight="1" thickBot="1">
      <c r="A79" s="2" t="inlineStr">
        <is>
          <t>RSI</t>
        </is>
      </c>
      <c r="B79" s="2">
        <f>RTD("btg_pro_rtd","","QUOTE.RSI","BPAC11")</f>
        <v/>
      </c>
    </row>
    <row r="80" ht="14.25" customHeight="1" thickBot="1">
      <c r="A80" s="2" t="inlineStr">
        <is>
          <t>STOCH</t>
        </is>
      </c>
      <c r="B80" s="2">
        <f>RTD("btg_pro_rtd","","QUOTE.STOCH","BPAC11")</f>
        <v/>
      </c>
    </row>
    <row r="81" ht="14.25" customHeight="1" thickBot="1">
      <c r="A81" s="2" t="inlineStr">
        <is>
          <t>STOCH Sinal</t>
        </is>
      </c>
      <c r="B81" s="2">
        <f>RTD("btg_pro_rtd","","QUOTE.STOCH_SIGNAL","BPAC11")</f>
        <v/>
      </c>
    </row>
    <row r="82" ht="14.25" customHeight="1" thickBot="1">
      <c r="A82" s="2" t="inlineStr">
        <is>
          <t>ATR</t>
        </is>
      </c>
      <c r="B82" s="2">
        <f>RTD("btg_pro_rtd","","QUOTE.ATR","BPAC11")</f>
        <v/>
      </c>
    </row>
    <row r="83" ht="14.25" customHeight="1" thickBot="1">
      <c r="A83" s="2" t="inlineStr">
        <is>
          <t>OBV</t>
        </is>
      </c>
      <c r="B83" s="2">
        <f>RTD("btg_pro_rtd","","QUOTE.OBV","BPAC11")</f>
        <v/>
      </c>
    </row>
    <row r="84" ht="14.25" customHeight="1" thickBot="1">
      <c r="A84" s="2" t="inlineStr">
        <is>
          <t>Vencimento</t>
        </is>
      </c>
      <c r="B84" s="2">
        <f>RTD("btg_pro_rtd","","QUOTE.MATURITYDATE","BPAC11")</f>
        <v/>
      </c>
    </row>
    <row r="85" ht="14.25" customHeight="1" thickBot="1">
      <c r="A85" s="2" t="inlineStr">
        <is>
          <t>Ativo</t>
        </is>
      </c>
      <c r="B85" s="2">
        <f>RTD("btg_pro_rtd","","QUOTE.SYMBOL","BPAC11")</f>
        <v/>
      </c>
    </row>
    <row r="86" ht="14.25" customHeight="1" thickBot="1">
      <c r="A86" s="2" t="inlineStr">
        <is>
          <t>Ativo Objeto</t>
        </is>
      </c>
      <c r="B86" s="2">
        <f>RTD("btg_pro_rtd","","QUOTE.UNDERLYING_SYMBOL","BPAC11")</f>
        <v/>
      </c>
    </row>
    <row r="87" ht="14.25" customHeight="1" thickBot="1">
      <c r="A87" s="2" t="inlineStr">
        <is>
          <t>Descrição</t>
        </is>
      </c>
      <c r="B87" s="2">
        <f>RTD("btg_pro_rtd","","QUOTE.DESCRIPTION","BPAC11")</f>
        <v/>
      </c>
    </row>
    <row r="88" ht="14.25" customHeight="1" thickBot="1">
      <c r="A88" s="2" t="inlineStr">
        <is>
          <t>Asset</t>
        </is>
      </c>
      <c r="B88" s="2">
        <f>RTD("btg_pro_rtd","","QUOTE.ASSET","BPAC11")</f>
        <v/>
      </c>
    </row>
    <row r="89" ht="14.25" customHeight="1" thickBot="1">
      <c r="A89" s="2" t="inlineStr">
        <is>
          <t>Tipo</t>
        </is>
      </c>
      <c r="B89" s="2">
        <f>RTD("btg_pro_rtd","","QUOTE.SECURITY_TYPE","BPAC11")</f>
        <v/>
      </c>
    </row>
    <row r="90" ht="14.25" customHeight="1" thickBot="1">
      <c r="A90" s="2" t="inlineStr">
        <is>
          <t>Exchenge</t>
        </is>
      </c>
      <c r="B90" s="2">
        <f>RTD("btg_pro_rtd","","QUOTE.EXCHANGE","BPAC11")</f>
        <v/>
      </c>
    </row>
    <row r="91" ht="14.25" customHeight="1" thickBot="1">
      <c r="A91" s="2" t="inlineStr">
        <is>
          <t>Canal</t>
        </is>
      </c>
      <c r="B91" s="2">
        <f>RTD("btg_pro_rtd","","QUOTE.SOURCE","BPAC11")</f>
        <v/>
      </c>
    </row>
    <row r="92" ht="14.25" customHeight="1" thickBot="1">
      <c r="A92" s="2" t="inlineStr">
        <is>
          <t>Tipo da Opção</t>
        </is>
      </c>
      <c r="B92" s="2">
        <f>RTD("btg_pro_rtd","","QUOTE.OPTION_TYPE","BPAC11")</f>
        <v/>
      </c>
    </row>
    <row r="93" ht="14.25" customHeight="1" thickBot="1">
      <c r="A93" s="2" t="inlineStr">
        <is>
          <t>Estilo da Opção</t>
        </is>
      </c>
      <c r="B93" s="2">
        <f>RTD("btg_pro_rtd","","QUOTE.OPTION_STYLE","BPAC11")</f>
        <v/>
      </c>
    </row>
    <row r="94" ht="14.25" customHeight="1" thickBot="1">
      <c r="A94" s="2" t="inlineStr">
        <is>
          <t>Strike Price</t>
        </is>
      </c>
      <c r="B94" s="2">
        <f>RTD("btg_pro_rtd","","QUOTE.STRIKE_PRICE","BPAC11")</f>
        <v/>
      </c>
    </row>
    <row r="95" ht="14.25" customHeight="1" thickBot="1">
      <c r="A95" s="2" t="inlineStr">
        <is>
          <t>Status</t>
        </is>
      </c>
      <c r="B95" s="2">
        <f>RTD("btg_pro_rtd","","QUOTE.STATUS","BPAC11")</f>
        <v/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Carlos Rubio Pereira</dc:creator>
  <dcterms:created xsi:type="dcterms:W3CDTF">2026-04-02T16:13:12Z</dcterms:created>
  <dcterms:modified xsi:type="dcterms:W3CDTF">2026-06-17T19:08:03Z</dcterms:modified>
  <cp:lastModifiedBy>Carlos Rubio Pereira</cp:lastModifiedBy>
</cp:coreProperties>
</file>