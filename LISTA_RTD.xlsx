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ucal\Desktop\"/>
    </mc:Choice>
  </mc:AlternateContent>
  <xr:revisionPtr revIDLastSave="0" documentId="13_ncr:1_{8CB4A57E-FD71-4C3A-8AC4-BCBA52D701BA}" xr6:coauthVersionLast="47" xr6:coauthVersionMax="47" xr10:uidLastSave="{00000000-0000-0000-0000-000000000000}"/>
  <bookViews>
    <workbookView xWindow="-120" yWindow="-120" windowWidth="20730" windowHeight="11160" tabRatio="816" xr2:uid="{00000000-000D-0000-FFFF-FFFF00000000}"/>
  </bookViews>
  <sheets>
    <sheet name="RTD-BTG LISTA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5" i="18" l="1"/>
  <c r="B94" i="18"/>
  <c r="B93" i="18"/>
  <c r="B92" i="18"/>
  <c r="B91" i="18"/>
  <c r="B90" i="18"/>
  <c r="B89" i="18"/>
  <c r="B88" i="18"/>
  <c r="B87" i="18"/>
  <c r="B86" i="18"/>
  <c r="B85" i="18"/>
  <c r="B84" i="18"/>
  <c r="B83" i="18"/>
  <c r="B82" i="18"/>
  <c r="B81" i="18"/>
  <c r="B80" i="18"/>
  <c r="B79" i="18"/>
  <c r="B78" i="18"/>
  <c r="B77" i="18"/>
  <c r="B76" i="18"/>
  <c r="B75" i="18"/>
  <c r="B74" i="18"/>
  <c r="B73" i="18"/>
  <c r="B72" i="18"/>
  <c r="B71" i="18"/>
  <c r="B70" i="18"/>
  <c r="B69" i="18"/>
  <c r="B68" i="18"/>
  <c r="B67" i="18"/>
  <c r="B66" i="18"/>
  <c r="B65" i="18"/>
  <c r="B64" i="18"/>
  <c r="B63" i="18"/>
  <c r="B62" i="18"/>
  <c r="B61" i="18"/>
  <c r="B60" i="18"/>
  <c r="B59" i="18"/>
  <c r="B58" i="18"/>
  <c r="B57" i="18"/>
  <c r="B56" i="18"/>
  <c r="B55" i="18"/>
  <c r="B54" i="18"/>
  <c r="B53" i="18"/>
  <c r="B52" i="18"/>
  <c r="B51" i="18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B8" i="18"/>
  <c r="B7" i="18"/>
  <c r="B6" i="18"/>
  <c r="B5" i="18"/>
  <c r="B4" i="18"/>
  <c r="B3" i="18"/>
</calcChain>
</file>

<file path=xl/sharedStrings.xml><?xml version="1.0" encoding="utf-8"?>
<sst xmlns="http://schemas.openxmlformats.org/spreadsheetml/2006/main" count="95" uniqueCount="95">
  <si>
    <t>ATIVO</t>
  </si>
  <si>
    <t>Tipo</t>
  </si>
  <si>
    <t>Descrição</t>
  </si>
  <si>
    <t>Ativo</t>
  </si>
  <si>
    <t>Melhor Oferta de Compra (Bid)</t>
  </si>
  <si>
    <t>Melhor Oferta de Venda (Ask)</t>
  </si>
  <si>
    <t>Variação Percentual</t>
  </si>
  <si>
    <t>Preço Alvo (Target)</t>
  </si>
  <si>
    <t>Upside em Relação ao Alvo</t>
  </si>
  <si>
    <t>Valor de Mercado</t>
  </si>
  <si>
    <t>Último ID de Negociação</t>
  </si>
  <si>
    <t>Último Preço Negociado</t>
  </si>
  <si>
    <t>Última Quantidade Negociada</t>
  </si>
  <si>
    <t>Melhor Quantidade de Compra (Bid)</t>
  </si>
  <si>
    <t>Melhor Quantidade de Venda (Ask)</t>
  </si>
  <si>
    <t>Fechamento</t>
  </si>
  <si>
    <t>Fech. Anterior</t>
  </si>
  <si>
    <t>Abertura</t>
  </si>
  <si>
    <t>Ajuste</t>
  </si>
  <si>
    <t>Máxima</t>
  </si>
  <si>
    <t>Mínima</t>
  </si>
  <si>
    <t>Variação</t>
  </si>
  <si>
    <t>Variação %</t>
  </si>
  <si>
    <t>Negócios</t>
  </si>
  <si>
    <t>Quantidade</t>
  </si>
  <si>
    <t>Volume</t>
  </si>
  <si>
    <t>VWAP</t>
  </si>
  <si>
    <t>Preço de Ajuste</t>
  </si>
  <si>
    <t>Preço de Ajuste Anterior</t>
  </si>
  <si>
    <t>Preço Teórico</t>
  </si>
  <si>
    <t>Quantidade Teórica do Leilão</t>
  </si>
  <si>
    <t>Quantidade de Desbalanceamento do Leilão</t>
  </si>
  <si>
    <t>Volatilidade Histórica</t>
  </si>
  <si>
    <t>Volatilidade Implícita</t>
  </si>
  <si>
    <t>Beta</t>
  </si>
  <si>
    <t>Correlação</t>
  </si>
  <si>
    <t>Semana Até Alta</t>
  </si>
  <si>
    <t>Semana Até Volume Médio</t>
  </si>
  <si>
    <t>Semana Até Variação Percentual</t>
  </si>
  <si>
    <t>Mês Até Alta</t>
  </si>
  <si>
    <t>Mês Até Baixa</t>
  </si>
  <si>
    <t>Mês Até Volume Médio</t>
  </si>
  <si>
    <t>Mês Até Variação Percentual</t>
  </si>
  <si>
    <t>Preço/Lucro</t>
  </si>
  <si>
    <t>Preço/Valor Patrimonial</t>
  </si>
  <si>
    <t>Valor Patrimonial por Ação</t>
  </si>
  <si>
    <t>Razão Atual</t>
  </si>
  <si>
    <t>Preço/Vendas</t>
  </si>
  <si>
    <t>Vendas por Ação</t>
  </si>
  <si>
    <t>Capitalização de Mercado D0</t>
  </si>
  <si>
    <t>Juros no Vencimento</t>
  </si>
  <si>
    <t>Preço do Ativo Objeto</t>
  </si>
  <si>
    <t>Volatilidade</t>
  </si>
  <si>
    <t>Delta</t>
  </si>
  <si>
    <t>Gamma</t>
  </si>
  <si>
    <t>Theta</t>
  </si>
  <si>
    <t>Vega</t>
  </si>
  <si>
    <t>Preço da Opção Black&amp;Scholes</t>
  </si>
  <si>
    <t>Valor Intrínseco</t>
  </si>
  <si>
    <t>Valor Extrínseco</t>
  </si>
  <si>
    <t>Prêmio %</t>
  </si>
  <si>
    <t>Moneyness %</t>
  </si>
  <si>
    <t>EMA5</t>
  </si>
  <si>
    <t>EMA20</t>
  </si>
  <si>
    <t>EMA200</t>
  </si>
  <si>
    <t>EMA12</t>
  </si>
  <si>
    <t>EMA26</t>
  </si>
  <si>
    <t>MACD</t>
  </si>
  <si>
    <t>MACD Sinal</t>
  </si>
  <si>
    <t>MACD Histograma</t>
  </si>
  <si>
    <t>RSI</t>
  </si>
  <si>
    <t>STOCH</t>
  </si>
  <si>
    <t>STOCH Sinal</t>
  </si>
  <si>
    <t>ATR</t>
  </si>
  <si>
    <t>OBV</t>
  </si>
  <si>
    <t>Ativo Objeto</t>
  </si>
  <si>
    <t>Asset</t>
  </si>
  <si>
    <t>Canal</t>
  </si>
  <si>
    <t>Tipo da Opção</t>
  </si>
  <si>
    <t>Estilo da Opção</t>
  </si>
  <si>
    <t>Strike Price</t>
  </si>
  <si>
    <t>Status</t>
  </si>
  <si>
    <t>BPAC11</t>
  </si>
  <si>
    <t>% Variação Teórica</t>
  </si>
  <si>
    <t>Túnel Superior</t>
  </si>
  <si>
    <t>Túnel Inferior</t>
  </si>
  <si>
    <t>Semana Até Fechamento Anteiror</t>
  </si>
  <si>
    <t>Semana até Baixa</t>
  </si>
  <si>
    <t>Mês Até fechamento Anterior</t>
  </si>
  <si>
    <t>Lucro Por Ação</t>
  </si>
  <si>
    <t>Márgem Liquida</t>
  </si>
  <si>
    <t>RHO</t>
  </si>
  <si>
    <t>Preço da Opção Livrp</t>
  </si>
  <si>
    <t>Vencimento</t>
  </si>
  <si>
    <t>Exchenge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</si>
</sst>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tg_pro_rtd">
      <tp>
        <v>0</v>
        <stp/>
        <stp>QUOTE.SETTLEMENT_PRICE</stp>
        <stp>BPAC11</stp>
        <tr r="B26" s="18"/>
      </tp>
      <tp>
        <v>50.53</v>
        <stp/>
        <stp>QUOTE.LAST_TRADE_PRICE</stp>
        <stp>BPAC11</stp>
        <tr r="B10" s="18"/>
      </tp>
      <tp>
        <v>2696400</v>
        <stp/>
        <stp>QUOTE.QUANTITY</stp>
        <stp>BPAC11</stp>
        <tr r="B23" s="18"/>
      </tp>
      <tp t="s">
        <v>BVSP</v>
        <stp/>
        <stp>QUOTE.EXCHANGE</stp>
        <stp>BPAC11</stp>
        <tr r="B90" s="18"/>
      </tp>
      <tp>
        <v>0</v>
        <stp/>
        <stp>QUOTE.EXTRINSIC_VALUE</stp>
        <stp>BPAC11</stp>
        <tr r="B68" s="18"/>
      </tp>
      <tp>
        <v>0</v>
        <stp/>
        <stp>QUOTE.INTRINSIC_VALUE</stp>
        <stp>BPAC11</stp>
        <tr r="B67" s="18"/>
      </tp>
      <tp>
        <v>50.29</v>
        <stp/>
        <stp>QUOTE.WEEK_LOW</stp>
        <stp>BPAC11</stp>
        <tr r="B40" s="18"/>
      </tp>
      <tp>
        <v>58.63</v>
        <stp/>
        <stp>QUOTE.MONTH_PREV_CLOSE</stp>
        <stp>BPAC11</stp>
        <tr r="B43" s="18"/>
      </tp>
      <tp>
        <v>638003456</v>
        <stp/>
        <stp>QUOTE.MONTH_AVG_VOLUME</stp>
        <stp>BPAC11</stp>
        <tr r="B46" s="18"/>
      </tp>
      <tp>
        <v>52.74</v>
        <stp/>
        <stp>QUOTE.WEEK_PREV_CLOSE</stp>
        <stp>BPAC11</stp>
        <tr r="B38" s="18"/>
      </tp>
      <tp>
        <v>623987968</v>
        <stp/>
        <stp>QUOTE.WEEK_AVG_VOLUME</stp>
        <stp>BPAC11</stp>
        <tr r="B41" s="18"/>
      </tp>
      <tp>
        <v>24.86</v>
        <stp/>
        <stp>QUOTE.SALES_PER_SHARE</stp>
        <stp>BPAC11</stp>
        <tr r="B55" s="18"/>
      </tp>
      <tp>
        <v>0</v>
        <stp/>
        <stp>QUOTE.INTEREST</stp>
        <stp>BPAC11</stp>
        <tr r="B57" s="18"/>
      </tp>
      <tp>
        <v>0</v>
        <stp/>
        <stp>QUOTE.UNDERLYING_PRICE</stp>
        <stp>BPAC11</stp>
        <tr r="B58" s="18"/>
      </tp>
      <tp>
        <v>0</v>
        <stp/>
        <stp>QUOTE.VOLATILITY</stp>
        <stp>BPAC11</stp>
        <tr r="B59" s="18"/>
      </tp>
      <tp>
        <v>60.75</v>
        <stp/>
        <stp>QUOTE.MONTH_HIGH</stp>
        <stp>BPAC11</stp>
        <tr r="B44" s="18"/>
      </tp>
      <tp>
        <v>16.850000000000001</v>
        <stp/>
        <stp>QUOTE.NET_MARGIN</stp>
        <stp>BPAC11</stp>
        <tr r="B53" s="18"/>
      </tp>
      <tp>
        <v>-0.24</v>
        <stp/>
        <stp>QUOTE.CHGPERCENT</stp>
        <stp>BPAC11</stp>
        <tr r="B5" s="18"/>
      </tp>
      <tp>
        <v>0</v>
        <stp/>
        <stp>QUOTE.AUCTION_IMBALANCE_QUANTITY</stp>
        <stp>BPAC11</stp>
        <tr r="B31" s="18"/>
      </tp>
      <tp t="s">
        <v>BPAC</v>
        <stp/>
        <stp>QUOTE.ASSET</stp>
        <stp>BPAC11</stp>
        <tr r="B88" s="18"/>
      </tp>
      <tp>
        <v>50.65</v>
        <stp/>
        <stp>QUOTE.PREV_CLOSE</stp>
        <stp>BPAC11</stp>
        <tr r="B15" s="18"/>
      </tp>
      <tp>
        <v>2.75</v>
        <stp/>
        <stp>QUOTE.PRICE_TO_BOOK</stp>
        <stp>BPAC11</stp>
        <tr r="B49" s="18"/>
      </tp>
      <tp>
        <v>3.88</v>
        <stp/>
        <stp>QUOTE.STOCH</stp>
        <stp>BPAC11</stp>
        <tr r="B80" s="18"/>
      </tp>
      <tp>
        <v>0</v>
        <stp/>
        <stp>QUOTE.AUCTION_THEORETICAL_CHANGE_PERCENT</stp>
        <stp>BPAC11</stp>
        <tr r="B29" s="18"/>
      </tp>
      <tp>
        <v>8912</v>
        <stp/>
        <stp>QUOTE.NUM_TRADES</stp>
        <stp>BPAC11</stp>
        <tr r="B22" s="18"/>
      </tp>
      <tp>
        <v>89120</v>
        <stp/>
        <stp>QUOTE.LAST_TRADE_ID</stp>
        <stp>BPAC11</stp>
        <tr r="B9" s="18"/>
      </tp>
      <tp>
        <v>0</v>
        <stp/>
        <stp>QUOTE.THETA</stp>
        <stp>BPAC11</stp>
        <tr r="B62" s="18"/>
      </tp>
      <tp>
        <v>50.53</v>
        <stp/>
        <stp>QUOTE.CLOSE</stp>
        <stp>BPAC11</stp>
        <tr r="B14" s="18"/>
      </tp>
      <tp>
        <v>54.06</v>
        <stp/>
        <stp>QUOTE.EMA20</stp>
        <stp>BPAC11</stp>
        <tr r="B72" s="18"/>
      </tp>
      <tp>
        <v>54.7</v>
        <stp/>
        <stp>QUOTE.EMA26</stp>
        <stp>BPAC11</stp>
        <tr r="B75" s="18"/>
      </tp>
      <tp>
        <v>52.92</v>
        <stp/>
        <stp>QUOTE.EMA12</stp>
        <stp>BPAC11</stp>
        <tr r="B74" s="18"/>
      </tp>
      <tp>
        <v>21.8</v>
        <stp/>
        <stp>QUOTE.IMPLIED_VOLATILITY</stp>
        <stp>BPAC11</stp>
        <tr r="B35" s="18"/>
      </tp>
      <tp>
        <v>0.98</v>
        <stp/>
        <stp>QUOTE.CURRENT_RATIO</stp>
        <stp>BPAC11</stp>
        <tr r="B52" s="18"/>
      </tp>
      <tp t="s">
        <v>Unit</v>
        <stp/>
        <stp>QUOTE.SECURITY_TYPE</stp>
        <stp>BPAC11</stp>
        <tr r="B89" s="18"/>
      </tp>
      <tp>
        <v>0</v>
        <stp/>
        <stp>QUOTE.PREV_SETTLEMENT_PRICE</stp>
        <stp>BPAC11</stp>
        <tr r="B27" s="18"/>
      </tp>
      <tp>
        <v>0</v>
        <stp/>
        <stp>QUOTE.GAMMA</stp>
        <stp>BPAC11</stp>
        <tr r="B61" s="18"/>
      </tp>
      <tp>
        <v>4.1900000000000004</v>
        <stp/>
        <stp>QUOTE.EARNINGS_PER_SHARE</stp>
        <stp>BPAC11</stp>
        <tr r="B50" s="18"/>
      </tp>
      <tp>
        <v>0</v>
        <stp/>
        <stp>QUOTE.MONEYNESS_PCT</stp>
        <stp>BPAC11</stp>
        <tr r="B70" s="18"/>
      </tp>
      <tp>
        <v>0</v>
        <stp/>
        <stp>QUOTE.HISTORICAL_VOLATILITY</stp>
        <stp>BPAC11</stp>
        <tr r="B34" s="18"/>
      </tp>
      <tp>
        <v>0</v>
        <stp/>
        <stp>QUOTE.BOOK_PRICE</stp>
        <stp>BPAC11</stp>
        <tr r="B66" s="18"/>
      </tp>
      <tp>
        <v>0</v>
        <stp/>
        <stp>QUOTE.DELTA</stp>
        <stp>BPAC11</stp>
        <tr r="B60" s="18"/>
      </tp>
      <tp>
        <v>51.29</v>
        <stp/>
        <stp>QUOTE.TUNNEL_UPPER</stp>
        <stp>BPAC11</stp>
        <tr r="B32" s="18"/>
      </tp>
      <tp>
        <v>0</v>
        <stp/>
        <stp>QUOTE.PREMIUM_PCT</stp>
        <stp>BPAC11</stp>
        <tr r="B69" s="18"/>
      </tp>
      <tp>
        <v>18.37</v>
        <stp/>
        <stp>QUOTE.BOOKVALUE_PER_SHARE</stp>
        <stp>BPAC11</stp>
        <tr r="B51" s="18"/>
      </tp>
      <tp>
        <v>0</v>
        <stp/>
        <stp>QUOTE.TARGET_PRICE</stp>
        <stp>BPAC11</stp>
        <tr r="B6" s="18"/>
      </tp>
      <tp>
        <v>100</v>
        <stp/>
        <stp>QUOTE.LAST_TRADE_QUANTITY</stp>
        <stp>BPAC11</stp>
        <tr r="B11" s="18"/>
      </tp>
      <tp>
        <v>1.34</v>
        <stp/>
        <stp>QUOTE.BETA</stp>
        <stp>BPAC11</stp>
        <tr r="B36" s="18"/>
      </tp>
      <tp>
        <v>51.51</v>
        <stp/>
        <stp>QUOTE.EMA5</stp>
        <stp>BPAC11</stp>
        <tr r="B71" s="18"/>
      </tp>
      <tp>
        <v>-4.1900000000000004</v>
        <stp/>
        <stp>QUOTE.WEEK_CHANGE_PERCENT</stp>
        <stp>BPAC11</stp>
        <tr r="B42" s="18"/>
      </tp>
      <tp>
        <v>1500</v>
        <stp/>
        <stp>QUOTE.ASK_QUANTITY</stp>
        <stp>BPAC11</stp>
        <tr r="B13" s="18"/>
      </tp>
      <tp t="s">
        <v>Banco BTG Pactual</v>
        <stp/>
        <stp>QUOTE.DESCRIPTION</stp>
        <stp>BPAC11</stp>
        <tr r="B87" s="18"/>
      </tp>
      <tp>
        <v>100</v>
        <stp/>
        <stp>QUOTE.BID_QUANTITY</stp>
        <stp>BPAC11</stp>
        <tr r="B12" s="18"/>
      </tp>
      <tp>
        <v>50.9</v>
        <stp/>
        <stp>QUOTE.HIGH</stp>
        <stp>BPAC11</stp>
        <tr r="B18" s="18"/>
      </tp>
      <tp>
        <v>0</v>
        <stp/>
        <stp>QUOTE.AUCTION_THEORETICAL_QUANTITY</stp>
        <stp>BPAC11</stp>
        <tr r="B30" s="18"/>
      </tp>
      <tp>
        <v>0</v>
        <stp/>
        <stp>QUOTE.STRIKE_PRICE</stp>
        <stp>BPAC11</stp>
        <tr r="B94" s="18"/>
      </tp>
      <tp>
        <v>-1.78</v>
        <stp/>
        <stp>QUOTE.MACD</stp>
        <stp>BPAC11</stp>
        <tr r="B76" s="18"/>
      </tp>
      <tp>
        <v>50.9</v>
        <stp/>
        <stp>QUOTE.OPEN</stp>
        <stp>BPAC11</stp>
        <tr r="B16" s="18"/>
      </tp>
      <tp t="s">
        <v/>
        <stp/>
        <stp>QUOTE.OPTION_TYPE</stp>
        <stp>BPAC11</stp>
        <tr r="B92" s="18"/>
      </tp>
      <tp>
        <v>-1.47</v>
        <stp/>
        <stp>QUOTE.MACD_SIGNAL</stp>
        <stp>BPAC11</stp>
        <tr r="B77" s="18"/>
      </tp>
      <tp>
        <v>30.57</v>
        <stp/>
        <stp>QUOTE.RSI</stp>
        <stp>BPAC11</stp>
        <tr r="B79" s="18"/>
      </tp>
      <tp>
        <v>0</v>
        <stp/>
        <stp>QUOTE.RHO</stp>
        <stp>BPAC11</stp>
        <tr r="B64" s="18"/>
      </tp>
      <tp>
        <v>1.53</v>
        <stp/>
        <stp>QUOTE.ATR</stp>
        <stp>BPAC11</stp>
        <tr r="B82" s="18"/>
      </tp>
      <tp>
        <v>15430585344</v>
        <stp/>
        <stp>QUOTE.OBV</stp>
        <stp>BPAC11</stp>
        <tr r="B83" s="18"/>
      </tp>
      <tp>
        <v>50.32</v>
        <stp/>
        <stp>QUOTE.LOW</stp>
        <stp>BPAC11</stp>
        <tr r="B19" s="18"/>
      </tp>
      <tp>
        <v>0</v>
        <stp/>
        <stp>QUOTE.OPTION_PRICE</stp>
        <stp>BPAC11</stp>
        <tr r="B65" s="18"/>
      </tp>
      <tp>
        <v>0.86</v>
        <stp/>
        <stp>QUOTE.CORRELATION</stp>
        <stp>BPAC11</stp>
        <tr r="B37" s="18"/>
      </tp>
      <tp t="s">
        <v>Other</v>
        <stp/>
        <stp>QUOTE.OPTION_STYLE</stp>
        <stp>BPAC11</stp>
        <tr r="B93" s="18"/>
      </tp>
      <tp>
        <v>0</v>
        <stp/>
        <stp>QUOTE.VEGA</stp>
        <stp>BPAC11</stp>
        <tr r="B63" s="18"/>
      </tp>
      <tp>
        <v>50.61</v>
        <stp/>
        <stp>QUOTE.VWAP</stp>
        <stp>BPAC11</stp>
        <tr r="B25" s="18"/>
      </tp>
      <tp>
        <v>-13.81</v>
        <stp/>
        <stp>QUOTE.MONTH_CHANGE_PERCENT</stp>
        <stp>BPAC11</stp>
        <tr r="B47" s="18"/>
      </tp>
      <tp>
        <v>25568.083333333332</v>
        <stp/>
        <stp>QUOTE.MATURITYDATE</stp>
        <stp>BPAC11</stp>
        <tr r="B84" s="18"/>
      </tp>
      <tp>
        <v>12.31</v>
        <stp/>
        <stp>QUOTE.STOCH_SIGNAL</stp>
        <stp>BPAC11</stp>
        <tr r="B81" s="18"/>
      </tp>
      <tp>
        <v>49.77</v>
        <stp/>
        <stp>QUOTE.TUNNEL_LOWER</stp>
        <stp>BPAC11</stp>
        <tr r="B33" s="18"/>
      </tp>
      <tp>
        <v>-0.12</v>
        <stp/>
        <stp>QUOTE.CHANGE</stp>
        <stp>BPAC11</stp>
        <tr r="B20" s="18"/>
      </tp>
      <tp t="s">
        <v/>
        <stp/>
        <stp>QUOTE.STATUS</stp>
        <stp>BPAC11</stp>
        <tr r="B95" s="18"/>
      </tp>
      <tp>
        <v>52.82</v>
        <stp/>
        <stp>QUOTE.EMA200</stp>
        <stp>BPAC11</stp>
        <tr r="B73" s="18"/>
      </tp>
      <tp>
        <v>50.53</v>
        <stp/>
        <stp>QUOTE.BID_PRICE</stp>
        <stp>BPAC11</stp>
        <tr r="B3" s="18"/>
      </tp>
      <tp>
        <v>12.07</v>
        <stp/>
        <stp>QUOTE.PRICE_TO_EARNINGS</stp>
        <stp>BPAC11</stp>
        <tr r="B48" s="18"/>
      </tp>
      <tp>
        <v>234518446080</v>
        <stp/>
        <stp>QUOTE.MARKET_CAPITAL</stp>
        <stp>BPAC11</stp>
        <tr r="B8" s="18"/>
      </tp>
      <tp>
        <v>0</v>
        <stp/>
        <stp>QUOTE.ADJUST</stp>
        <stp>BPAC11</stp>
        <tr r="B17" s="18"/>
      </tp>
      <tp>
        <v>0</v>
        <stp/>
        <stp>QUOTE.AUCTION_THEORETICAL_PRICE</stp>
        <stp>BPAC11</stp>
        <tr r="B28" s="18"/>
      </tp>
      <tp t="s">
        <v/>
        <stp/>
        <stp>QUOTE.UNDERLYING_SYMBOL</stp>
        <stp>BPAC11</stp>
        <tr r="B86" s="18"/>
      </tp>
      <tp>
        <v>50.29</v>
        <stp/>
        <stp>QUOTE.MONTH_LOW</stp>
        <stp>BPAC11</stp>
        <tr r="B45" s="18"/>
      </tp>
      <tp>
        <v>-0.31</v>
        <stp/>
        <stp>QUOTE.MACD_HISTOGRAM</stp>
        <stp>BPAC11</stp>
        <tr r="B78" s="18"/>
      </tp>
      <tp t="s">
        <v>BPAC11</v>
        <stp/>
        <stp>QUOTE.SYMBOL</stp>
        <stp>BPAC11</stp>
        <tr r="B85" s="18"/>
      </tp>
      <tp>
        <v>235075354624</v>
        <stp/>
        <stp>QUOTE.MARKET_CAPITAL_D0</stp>
        <stp>BPAC11</stp>
        <tr r="B56" s="18"/>
      </tp>
      <tp>
        <v>136470192</v>
        <stp/>
        <stp>QUOTE.VOLUME</stp>
        <stp>BPAC11</stp>
        <tr r="B24" s="18"/>
      </tp>
      <tp>
        <v>0</v>
        <stp/>
        <stp>QUOTE.UPSIDE</stp>
        <stp>BPAC11</stp>
        <tr r="B7" s="18"/>
      </tp>
      <tp>
        <v>53.8</v>
        <stp/>
        <stp>QUOTE.WEEK_HIGH</stp>
        <stp>BPAC11</stp>
        <tr r="B39" s="18"/>
      </tp>
      <tp>
        <v>53</v>
        <stp/>
        <stp>QUOTE.SOURCE</stp>
        <stp>BPAC11</stp>
        <tr r="B91" s="18"/>
      </tp>
      <tp>
        <v>-0.24</v>
        <stp/>
        <stp>QUOTE.CHANGE_PERCENT</stp>
        <stp>BPAC11</stp>
        <tr r="B21" s="18"/>
      </tp>
      <tp>
        <v>50.54</v>
        <stp/>
        <stp>QUOTE.ASK_PRICE</stp>
        <stp>BPAC11</stp>
        <tr r="B4" s="18"/>
      </tp>
      <tp>
        <v>2.0299999999999998</v>
        <stp/>
        <stp>QUOTE.PRICE_TO_SALES</stp>
        <stp>BPAC11</stp>
        <tr r="B54" s="18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1B5DC-939F-4491-9D05-4103EB1D3824}">
  <dimension ref="A1:B95"/>
  <sheetViews>
    <sheetView tabSelected="1" workbookViewId="0">
      <selection activeCell="G12" sqref="G12"/>
    </sheetView>
  </sheetViews>
  <sheetFormatPr defaultRowHeight="15" x14ac:dyDescent="0.25"/>
  <cols>
    <col min="1" max="1" width="42.42578125" customWidth="1"/>
    <col min="2" max="2" width="18.42578125" customWidth="1"/>
  </cols>
  <sheetData>
    <row r="1" spans="1:2" ht="14.25" customHeight="1" thickBot="1" x14ac:dyDescent="0.3"/>
    <row r="2" spans="1:2" ht="14.25" customHeight="1" thickBot="1" x14ac:dyDescent="0.3">
      <c r="A2" s="1" t="s">
        <v>82</v>
      </c>
      <c r="B2" s="1" t="s">
        <v>0</v>
      </c>
    </row>
    <row r="3" spans="1:2" ht="14.25" customHeight="1" thickBot="1" x14ac:dyDescent="0.3">
      <c r="A3" s="2" t="s">
        <v>4</v>
      </c>
      <c r="B3" s="2">
        <f>RTD("btg_pro_rtd","","QUOTE.BID_PRICE","BPAC11")</f>
        <v>50.53</v>
      </c>
    </row>
    <row r="4" spans="1:2" ht="14.25" customHeight="1" thickBot="1" x14ac:dyDescent="0.3">
      <c r="A4" s="2" t="s">
        <v>5</v>
      </c>
      <c r="B4" s="2">
        <f>RTD("btg_pro_rtd","","QUOTE.ASK_PRICE","BPAC11")</f>
        <v>50.54</v>
      </c>
    </row>
    <row r="5" spans="1:2" ht="14.25" customHeight="1" thickBot="1" x14ac:dyDescent="0.3">
      <c r="A5" s="2" t="s">
        <v>6</v>
      </c>
      <c r="B5" s="2">
        <f>RTD("btg_pro_rtd","","QUOTE.CHGPERCENT","BPAC11")</f>
        <v>-0.24</v>
      </c>
    </row>
    <row r="6" spans="1:2" ht="14.25" customHeight="1" thickBot="1" x14ac:dyDescent="0.3">
      <c r="A6" s="2" t="s">
        <v>7</v>
      </c>
      <c r="B6" s="2">
        <f>RTD("btg_pro_rtd","","QUOTE.TARGET_PRICE","BPAC11")</f>
        <v>0</v>
      </c>
    </row>
    <row r="7" spans="1:2" ht="14.25" customHeight="1" thickBot="1" x14ac:dyDescent="0.3">
      <c r="A7" s="2" t="s">
        <v>8</v>
      </c>
      <c r="B7" s="2">
        <f>RTD("btg_pro_rtd","","QUOTE.UPSIDE","BPAC11")</f>
        <v>0</v>
      </c>
    </row>
    <row r="8" spans="1:2" ht="14.25" customHeight="1" thickBot="1" x14ac:dyDescent="0.3">
      <c r="A8" s="2" t="s">
        <v>9</v>
      </c>
      <c r="B8" s="2">
        <f>RTD("btg_pro_rtd","","QUOTE.MARKET_CAPITAL","BPAC11")</f>
        <v>234518446080</v>
      </c>
    </row>
    <row r="9" spans="1:2" ht="14.25" customHeight="1" thickBot="1" x14ac:dyDescent="0.3">
      <c r="A9" s="2" t="s">
        <v>10</v>
      </c>
      <c r="B9" s="2">
        <f>RTD("btg_pro_rtd","","QUOTE.LAST_TRADE_ID","BPAC11")</f>
        <v>89120</v>
      </c>
    </row>
    <row r="10" spans="1:2" ht="14.25" customHeight="1" thickBot="1" x14ac:dyDescent="0.3">
      <c r="A10" s="2" t="s">
        <v>11</v>
      </c>
      <c r="B10" s="2">
        <f>RTD("btg_pro_rtd","","QUOTE.LAST_TRADE_PRICE","BPAC11")</f>
        <v>50.53</v>
      </c>
    </row>
    <row r="11" spans="1:2" ht="14.25" customHeight="1" thickBot="1" x14ac:dyDescent="0.3">
      <c r="A11" s="2" t="s">
        <v>12</v>
      </c>
      <c r="B11" s="2">
        <f>RTD("btg_pro_rtd","","QUOTE.LAST_TRADE_QUANTITY","BPAC11")</f>
        <v>100</v>
      </c>
    </row>
    <row r="12" spans="1:2" ht="14.25" customHeight="1" thickBot="1" x14ac:dyDescent="0.3">
      <c r="A12" s="2" t="s">
        <v>13</v>
      </c>
      <c r="B12" s="2">
        <f>RTD("btg_pro_rtd","","QUOTE.BID_QUANTITY","BPAC11")</f>
        <v>100</v>
      </c>
    </row>
    <row r="13" spans="1:2" ht="14.25" customHeight="1" thickBot="1" x14ac:dyDescent="0.3">
      <c r="A13" s="2" t="s">
        <v>14</v>
      </c>
      <c r="B13" s="2">
        <f>RTD("btg_pro_rtd","","QUOTE.ASK_QUANTITY","BPAC11")</f>
        <v>1500</v>
      </c>
    </row>
    <row r="14" spans="1:2" ht="14.25" customHeight="1" thickBot="1" x14ac:dyDescent="0.3">
      <c r="A14" s="2" t="s">
        <v>15</v>
      </c>
      <c r="B14" s="2">
        <f>RTD("btg_pro_rtd","","QUOTE.CLOSE","BPAC11")</f>
        <v>50.53</v>
      </c>
    </row>
    <row r="15" spans="1:2" ht="14.25" customHeight="1" thickBot="1" x14ac:dyDescent="0.3">
      <c r="A15" s="2" t="s">
        <v>16</v>
      </c>
      <c r="B15" s="2">
        <f>RTD("btg_pro_rtd","","QUOTE.PREV_CLOSE","BPAC11")</f>
        <v>50.65</v>
      </c>
    </row>
    <row r="16" spans="1:2" ht="14.25" customHeight="1" thickBot="1" x14ac:dyDescent="0.3">
      <c r="A16" s="2" t="s">
        <v>17</v>
      </c>
      <c r="B16" s="2">
        <f>RTD("btg_pro_rtd","","QUOTE.OPEN","BPAC11")</f>
        <v>50.9</v>
      </c>
    </row>
    <row r="17" spans="1:2" ht="14.25" customHeight="1" thickBot="1" x14ac:dyDescent="0.3">
      <c r="A17" s="2" t="s">
        <v>18</v>
      </c>
      <c r="B17" s="2">
        <f>RTD("btg_pro_rtd","","QUOTE.ADJUST","BPAC11")</f>
        <v>0</v>
      </c>
    </row>
    <row r="18" spans="1:2" ht="14.25" customHeight="1" thickBot="1" x14ac:dyDescent="0.3">
      <c r="A18" s="2" t="s">
        <v>19</v>
      </c>
      <c r="B18" s="2">
        <f>RTD("btg_pro_rtd","","QUOTE.HIGH","BPAC11")</f>
        <v>50.9</v>
      </c>
    </row>
    <row r="19" spans="1:2" ht="14.25" customHeight="1" thickBot="1" x14ac:dyDescent="0.3">
      <c r="A19" s="2" t="s">
        <v>20</v>
      </c>
      <c r="B19" s="2">
        <f>RTD("btg_pro_rtd","","QUOTE.LOW","BPAC11")</f>
        <v>50.32</v>
      </c>
    </row>
    <row r="20" spans="1:2" ht="14.25" customHeight="1" thickBot="1" x14ac:dyDescent="0.3">
      <c r="A20" s="2" t="s">
        <v>21</v>
      </c>
      <c r="B20" s="2">
        <f>RTD("btg_pro_rtd","","QUOTE.CHANGE","BPAC11")</f>
        <v>-0.12</v>
      </c>
    </row>
    <row r="21" spans="1:2" ht="14.25" customHeight="1" thickBot="1" x14ac:dyDescent="0.3">
      <c r="A21" s="2" t="s">
        <v>22</v>
      </c>
      <c r="B21" s="2">
        <f>RTD("btg_pro_rtd","","QUOTE.CHANGE_PERCENT","BPAC11")</f>
        <v>-0.24</v>
      </c>
    </row>
    <row r="22" spans="1:2" ht="14.25" customHeight="1" thickBot="1" x14ac:dyDescent="0.3">
      <c r="A22" s="2" t="s">
        <v>23</v>
      </c>
      <c r="B22" s="2">
        <f>RTD("btg_pro_rtd","","QUOTE.NUM_TRADES","BPAC11")</f>
        <v>8912</v>
      </c>
    </row>
    <row r="23" spans="1:2" ht="14.25" customHeight="1" thickBot="1" x14ac:dyDescent="0.3">
      <c r="A23" s="2" t="s">
        <v>24</v>
      </c>
      <c r="B23" s="2">
        <f>RTD("btg_pro_rtd","","QUOTE.QUANTITY","BPAC11")</f>
        <v>2696400</v>
      </c>
    </row>
    <row r="24" spans="1:2" ht="14.25" customHeight="1" thickBot="1" x14ac:dyDescent="0.3">
      <c r="A24" s="2" t="s">
        <v>25</v>
      </c>
      <c r="B24" s="2">
        <f>RTD("btg_pro_rtd","","QUOTE.VOLUME","BPAC11")</f>
        <v>136470192</v>
      </c>
    </row>
    <row r="25" spans="1:2" ht="14.25" customHeight="1" thickBot="1" x14ac:dyDescent="0.3">
      <c r="A25" s="2" t="s">
        <v>26</v>
      </c>
      <c r="B25" s="2">
        <f>RTD("btg_pro_rtd","","QUOTE.VWAP","BPAC11")</f>
        <v>50.61</v>
      </c>
    </row>
    <row r="26" spans="1:2" ht="14.25" customHeight="1" thickBot="1" x14ac:dyDescent="0.3">
      <c r="A26" s="2" t="s">
        <v>27</v>
      </c>
      <c r="B26" s="2">
        <f>RTD("btg_pro_rtd","","QUOTE.SETTLEMENT_PRICE","BPAC11")</f>
        <v>0</v>
      </c>
    </row>
    <row r="27" spans="1:2" ht="14.25" customHeight="1" thickBot="1" x14ac:dyDescent="0.3">
      <c r="A27" s="2" t="s">
        <v>28</v>
      </c>
      <c r="B27" s="2">
        <f>RTD("btg_pro_rtd","","QUOTE.PREV_SETTLEMENT_PRICE","BPAC11")</f>
        <v>0</v>
      </c>
    </row>
    <row r="28" spans="1:2" ht="14.25" customHeight="1" thickBot="1" x14ac:dyDescent="0.3">
      <c r="A28" s="2" t="s">
        <v>29</v>
      </c>
      <c r="B28" s="2">
        <f>RTD("btg_pro_rtd","","QUOTE.AUCTION_THEORETICAL_PRICE","BPAC11")</f>
        <v>0</v>
      </c>
    </row>
    <row r="29" spans="1:2" ht="14.25" customHeight="1" thickBot="1" x14ac:dyDescent="0.3">
      <c r="A29" s="2" t="s">
        <v>83</v>
      </c>
      <c r="B29" s="2">
        <f>RTD("btg_pro_rtd","","QUOTE.AUCTION_THEORETICAL_CHANGE_PERCENT","BPAC11")</f>
        <v>0</v>
      </c>
    </row>
    <row r="30" spans="1:2" ht="14.25" customHeight="1" thickBot="1" x14ac:dyDescent="0.3">
      <c r="A30" s="2" t="s">
        <v>30</v>
      </c>
      <c r="B30" s="2">
        <f>RTD("btg_pro_rtd","","QUOTE.AUCTION_THEORETICAL_QUANTITY","BPAC11")</f>
        <v>0</v>
      </c>
    </row>
    <row r="31" spans="1:2" ht="14.25" customHeight="1" thickBot="1" x14ac:dyDescent="0.3">
      <c r="A31" s="2" t="s">
        <v>31</v>
      </c>
      <c r="B31" s="2">
        <f>RTD("btg_pro_rtd","","QUOTE.AUCTION_IMBALANCE_QUANTITY","BPAC11")</f>
        <v>0</v>
      </c>
    </row>
    <row r="32" spans="1:2" ht="14.25" customHeight="1" thickBot="1" x14ac:dyDescent="0.3">
      <c r="A32" s="2" t="s">
        <v>84</v>
      </c>
      <c r="B32" s="2">
        <f>RTD("btg_pro_rtd","","QUOTE.TUNNEL_UPPER","BPAC11")</f>
        <v>51.29</v>
      </c>
    </row>
    <row r="33" spans="1:2" ht="14.25" customHeight="1" thickBot="1" x14ac:dyDescent="0.3">
      <c r="A33" s="2" t="s">
        <v>85</v>
      </c>
      <c r="B33" s="2">
        <f>RTD("btg_pro_rtd","","QUOTE.TUNNEL_LOWER","BPAC11")</f>
        <v>49.77</v>
      </c>
    </row>
    <row r="34" spans="1:2" ht="14.25" customHeight="1" thickBot="1" x14ac:dyDescent="0.3">
      <c r="A34" s="2" t="s">
        <v>32</v>
      </c>
      <c r="B34" s="2">
        <f>RTD("btg_pro_rtd","","QUOTE.HISTORICAL_VOLATILITY","BPAC11")</f>
        <v>0</v>
      </c>
    </row>
    <row r="35" spans="1:2" ht="14.25" customHeight="1" thickBot="1" x14ac:dyDescent="0.3">
      <c r="A35" s="2" t="s">
        <v>33</v>
      </c>
      <c r="B35" s="2">
        <f>RTD("btg_pro_rtd","","QUOTE.IMPLIED_VOLATILITY","BPAC11")</f>
        <v>21.8</v>
      </c>
    </row>
    <row r="36" spans="1:2" ht="14.25" customHeight="1" thickBot="1" x14ac:dyDescent="0.3">
      <c r="A36" s="2" t="s">
        <v>34</v>
      </c>
      <c r="B36" s="2">
        <f>RTD("btg_pro_rtd","","QUOTE.BETA","BPAC11")</f>
        <v>1.34</v>
      </c>
    </row>
    <row r="37" spans="1:2" ht="14.25" customHeight="1" thickBot="1" x14ac:dyDescent="0.3">
      <c r="A37" s="2" t="s">
        <v>35</v>
      </c>
      <c r="B37" s="2">
        <f>RTD("btg_pro_rtd","","QUOTE.CORRELATION","BPAC11")</f>
        <v>0.86</v>
      </c>
    </row>
    <row r="38" spans="1:2" ht="14.25" customHeight="1" thickBot="1" x14ac:dyDescent="0.3">
      <c r="A38" s="2" t="s">
        <v>86</v>
      </c>
      <c r="B38" s="2">
        <f>RTD("btg_pro_rtd","","QUOTE.WEEK_PREV_CLOSE","BPAC11")</f>
        <v>52.74</v>
      </c>
    </row>
    <row r="39" spans="1:2" ht="14.25" customHeight="1" thickBot="1" x14ac:dyDescent="0.3">
      <c r="A39" s="2" t="s">
        <v>36</v>
      </c>
      <c r="B39" s="2">
        <f>RTD("btg_pro_rtd","","QUOTE.WEEK_HIGH","BPAC11")</f>
        <v>53.8</v>
      </c>
    </row>
    <row r="40" spans="1:2" ht="14.25" customHeight="1" thickBot="1" x14ac:dyDescent="0.3">
      <c r="A40" s="2" t="s">
        <v>87</v>
      </c>
      <c r="B40" s="2">
        <f>RTD("btg_pro_rtd","","QUOTE.WEEK_LOW","BPAC11")</f>
        <v>50.29</v>
      </c>
    </row>
    <row r="41" spans="1:2" ht="14.25" customHeight="1" thickBot="1" x14ac:dyDescent="0.3">
      <c r="A41" s="2" t="s">
        <v>37</v>
      </c>
      <c r="B41" s="2">
        <f>RTD("btg_pro_rtd","","QUOTE.WEEK_AVG_VOLUME","BPAC11")</f>
        <v>623987968</v>
      </c>
    </row>
    <row r="42" spans="1:2" ht="14.25" customHeight="1" thickBot="1" x14ac:dyDescent="0.3">
      <c r="A42" s="2" t="s">
        <v>38</v>
      </c>
      <c r="B42" s="2">
        <f>RTD("btg_pro_rtd","","QUOTE.WEEK_CHANGE_PERCENT","BPAC11")</f>
        <v>-4.1900000000000004</v>
      </c>
    </row>
    <row r="43" spans="1:2" ht="14.25" customHeight="1" thickBot="1" x14ac:dyDescent="0.3">
      <c r="A43" s="2" t="s">
        <v>88</v>
      </c>
      <c r="B43" s="2">
        <f>RTD("btg_pro_rtd","","QUOTE.MONTH_PREV_CLOSE","BPAC11")</f>
        <v>58.63</v>
      </c>
    </row>
    <row r="44" spans="1:2" ht="14.25" customHeight="1" thickBot="1" x14ac:dyDescent="0.3">
      <c r="A44" s="2" t="s">
        <v>39</v>
      </c>
      <c r="B44" s="2">
        <f>RTD("btg_pro_rtd","","QUOTE.MONTH_HIGH","BPAC11")</f>
        <v>60.75</v>
      </c>
    </row>
    <row r="45" spans="1:2" ht="14.25" customHeight="1" thickBot="1" x14ac:dyDescent="0.3">
      <c r="A45" s="2" t="s">
        <v>40</v>
      </c>
      <c r="B45" s="2">
        <f>RTD("btg_pro_rtd","","QUOTE.MONTH_LOW","BPAC11")</f>
        <v>50.29</v>
      </c>
    </row>
    <row r="46" spans="1:2" ht="14.25" customHeight="1" thickBot="1" x14ac:dyDescent="0.3">
      <c r="A46" s="2" t="s">
        <v>41</v>
      </c>
      <c r="B46" s="2">
        <f>RTD("btg_pro_rtd","","QUOTE.MONTH_AVG_VOLUME","BPAC11")</f>
        <v>638003456</v>
      </c>
    </row>
    <row r="47" spans="1:2" ht="14.25" customHeight="1" thickBot="1" x14ac:dyDescent="0.3">
      <c r="A47" s="2" t="s">
        <v>42</v>
      </c>
      <c r="B47" s="2">
        <f>RTD("btg_pro_rtd","","QUOTE.MONTH_CHANGE_PERCENT","BPAC11")</f>
        <v>-13.81</v>
      </c>
    </row>
    <row r="48" spans="1:2" ht="14.25" customHeight="1" thickBot="1" x14ac:dyDescent="0.3">
      <c r="A48" s="2" t="s">
        <v>43</v>
      </c>
      <c r="B48" s="2">
        <f>RTD("btg_pro_rtd","","QUOTE.PRICE_TO_EARNINGS","BPAC11")</f>
        <v>12.07</v>
      </c>
    </row>
    <row r="49" spans="1:2" ht="14.25" customHeight="1" thickBot="1" x14ac:dyDescent="0.3">
      <c r="A49" s="2" t="s">
        <v>44</v>
      </c>
      <c r="B49" s="2">
        <f>RTD("btg_pro_rtd","","QUOTE.PRICE_TO_BOOK","BPAC11")</f>
        <v>2.75</v>
      </c>
    </row>
    <row r="50" spans="1:2" ht="14.25" customHeight="1" thickBot="1" x14ac:dyDescent="0.3">
      <c r="A50" s="2" t="s">
        <v>89</v>
      </c>
      <c r="B50" s="2">
        <f>RTD("btg_pro_rtd","","QUOTE.EARNINGS_PER_SHARE","BPAC11")</f>
        <v>4.1900000000000004</v>
      </c>
    </row>
    <row r="51" spans="1:2" ht="14.25" customHeight="1" thickBot="1" x14ac:dyDescent="0.3">
      <c r="A51" s="2" t="s">
        <v>45</v>
      </c>
      <c r="B51" s="2">
        <f>RTD("btg_pro_rtd","","QUOTE.BOOKVALUE_PER_SHARE","BPAC11")</f>
        <v>18.37</v>
      </c>
    </row>
    <row r="52" spans="1:2" ht="14.25" customHeight="1" thickBot="1" x14ac:dyDescent="0.3">
      <c r="A52" s="2" t="s">
        <v>46</v>
      </c>
      <c r="B52" s="2">
        <f>RTD("btg_pro_rtd","","QUOTE.CURRENT_RATIO","BPAC11")</f>
        <v>0.98</v>
      </c>
    </row>
    <row r="53" spans="1:2" ht="14.25" customHeight="1" thickBot="1" x14ac:dyDescent="0.3">
      <c r="A53" s="2" t="s">
        <v>90</v>
      </c>
      <c r="B53" s="2">
        <f>RTD("btg_pro_rtd","","QUOTE.NET_MARGIN","BPAC11")</f>
        <v>16.850000000000001</v>
      </c>
    </row>
    <row r="54" spans="1:2" ht="14.25" customHeight="1" thickBot="1" x14ac:dyDescent="0.3">
      <c r="A54" s="2" t="s">
        <v>47</v>
      </c>
      <c r="B54" s="2">
        <f>RTD("btg_pro_rtd","","QUOTE.PRICE_TO_SALES","BPAC11")</f>
        <v>2.0299999999999998</v>
      </c>
    </row>
    <row r="55" spans="1:2" ht="14.25" customHeight="1" thickBot="1" x14ac:dyDescent="0.3">
      <c r="A55" s="2" t="s">
        <v>48</v>
      </c>
      <c r="B55" s="2">
        <f>RTD("btg_pro_rtd","","QUOTE.SALES_PER_SHARE","BPAC11")</f>
        <v>24.86</v>
      </c>
    </row>
    <row r="56" spans="1:2" ht="14.25" customHeight="1" thickBot="1" x14ac:dyDescent="0.3">
      <c r="A56" s="2" t="s">
        <v>49</v>
      </c>
      <c r="B56" s="2">
        <f>RTD("btg_pro_rtd","","QUOTE.MARKET_CAPITAL_D0","BPAC11")</f>
        <v>235075354624</v>
      </c>
    </row>
    <row r="57" spans="1:2" ht="14.25" customHeight="1" thickBot="1" x14ac:dyDescent="0.3">
      <c r="A57" s="2" t="s">
        <v>50</v>
      </c>
      <c r="B57" s="2">
        <f>RTD("btg_pro_rtd","","QUOTE.INTEREST","BPAC11")</f>
        <v>0</v>
      </c>
    </row>
    <row r="58" spans="1:2" ht="14.25" customHeight="1" thickBot="1" x14ac:dyDescent="0.3">
      <c r="A58" s="2" t="s">
        <v>51</v>
      </c>
      <c r="B58" s="2">
        <f>RTD("btg_pro_rtd","","QUOTE.UNDERLYING_PRICE","BPAC11")</f>
        <v>0</v>
      </c>
    </row>
    <row r="59" spans="1:2" ht="14.25" customHeight="1" thickBot="1" x14ac:dyDescent="0.3">
      <c r="A59" s="2" t="s">
        <v>52</v>
      </c>
      <c r="B59" s="2">
        <f>RTD("btg_pro_rtd","","QUOTE.VOLATILITY","BPAC11")</f>
        <v>0</v>
      </c>
    </row>
    <row r="60" spans="1:2" ht="14.25" customHeight="1" thickBot="1" x14ac:dyDescent="0.3">
      <c r="A60" s="2" t="s">
        <v>53</v>
      </c>
      <c r="B60" s="2">
        <f>RTD("btg_pro_rtd","","QUOTE.DELTA","BPAC11")</f>
        <v>0</v>
      </c>
    </row>
    <row r="61" spans="1:2" ht="14.25" customHeight="1" thickBot="1" x14ac:dyDescent="0.3">
      <c r="A61" s="2" t="s">
        <v>54</v>
      </c>
      <c r="B61" s="2">
        <f>RTD("btg_pro_rtd","","QUOTE.GAMMA","BPAC11")</f>
        <v>0</v>
      </c>
    </row>
    <row r="62" spans="1:2" ht="14.25" customHeight="1" thickBot="1" x14ac:dyDescent="0.3">
      <c r="A62" s="2" t="s">
        <v>55</v>
      </c>
      <c r="B62" s="2">
        <f>RTD("btg_pro_rtd","","QUOTE.THETA","BPAC11")</f>
        <v>0</v>
      </c>
    </row>
    <row r="63" spans="1:2" ht="14.25" customHeight="1" thickBot="1" x14ac:dyDescent="0.3">
      <c r="A63" s="2" t="s">
        <v>56</v>
      </c>
      <c r="B63" s="2">
        <f>RTD("btg_pro_rtd","","QUOTE.VEGA","BPAC11")</f>
        <v>0</v>
      </c>
    </row>
    <row r="64" spans="1:2" ht="14.25" customHeight="1" thickBot="1" x14ac:dyDescent="0.3">
      <c r="A64" s="2" t="s">
        <v>91</v>
      </c>
      <c r="B64" s="2">
        <f>RTD("btg_pro_rtd","","QUOTE.RHO","BPAC11")</f>
        <v>0</v>
      </c>
    </row>
    <row r="65" spans="1:2" ht="14.25" customHeight="1" thickBot="1" x14ac:dyDescent="0.3">
      <c r="A65" s="2" t="s">
        <v>57</v>
      </c>
      <c r="B65" s="2">
        <f>RTD("btg_pro_rtd","","QUOTE.OPTION_PRICE","BPAC11")</f>
        <v>0</v>
      </c>
    </row>
    <row r="66" spans="1:2" ht="14.25" customHeight="1" thickBot="1" x14ac:dyDescent="0.3">
      <c r="A66" s="2" t="s">
        <v>92</v>
      </c>
      <c r="B66" s="2">
        <f>RTD("btg_pro_rtd","","QUOTE.BOOK_PRICE","BPAC11")</f>
        <v>0</v>
      </c>
    </row>
    <row r="67" spans="1:2" ht="14.25" customHeight="1" thickBot="1" x14ac:dyDescent="0.3">
      <c r="A67" s="2" t="s">
        <v>58</v>
      </c>
      <c r="B67" s="2">
        <f>RTD("btg_pro_rtd","","QUOTE.INTRINSIC_VALUE","BPAC11")</f>
        <v>0</v>
      </c>
    </row>
    <row r="68" spans="1:2" ht="14.25" customHeight="1" thickBot="1" x14ac:dyDescent="0.3">
      <c r="A68" s="2" t="s">
        <v>59</v>
      </c>
      <c r="B68" s="2">
        <f>RTD("btg_pro_rtd","","QUOTE.EXTRINSIC_VALUE","BPAC11")</f>
        <v>0</v>
      </c>
    </row>
    <row r="69" spans="1:2" ht="14.25" customHeight="1" thickBot="1" x14ac:dyDescent="0.3">
      <c r="A69" s="2" t="s">
        <v>60</v>
      </c>
      <c r="B69" s="2">
        <f>RTD("btg_pro_rtd","","QUOTE.PREMIUM_PCT","BPAC11")</f>
        <v>0</v>
      </c>
    </row>
    <row r="70" spans="1:2" ht="14.25" customHeight="1" thickBot="1" x14ac:dyDescent="0.3">
      <c r="A70" s="2" t="s">
        <v>61</v>
      </c>
      <c r="B70" s="2">
        <f>RTD("btg_pro_rtd","","QUOTE.MONEYNESS_PCT","BPAC11")</f>
        <v>0</v>
      </c>
    </row>
    <row r="71" spans="1:2" ht="14.25" customHeight="1" thickBot="1" x14ac:dyDescent="0.3">
      <c r="A71" s="2" t="s">
        <v>62</v>
      </c>
      <c r="B71" s="2">
        <f>RTD("btg_pro_rtd","","QUOTE.EMA5","BPAC11")</f>
        <v>51.51</v>
      </c>
    </row>
    <row r="72" spans="1:2" ht="14.25" customHeight="1" thickBot="1" x14ac:dyDescent="0.3">
      <c r="A72" s="2" t="s">
        <v>63</v>
      </c>
      <c r="B72" s="2">
        <f>RTD("btg_pro_rtd","","QUOTE.EMA20","BPAC11")</f>
        <v>54.06</v>
      </c>
    </row>
    <row r="73" spans="1:2" ht="14.25" customHeight="1" thickBot="1" x14ac:dyDescent="0.3">
      <c r="A73" s="2" t="s">
        <v>64</v>
      </c>
      <c r="B73" s="2">
        <f>RTD("btg_pro_rtd","","QUOTE.EMA200","BPAC11")</f>
        <v>52.82</v>
      </c>
    </row>
    <row r="74" spans="1:2" ht="14.25" customHeight="1" thickBot="1" x14ac:dyDescent="0.3">
      <c r="A74" s="2" t="s">
        <v>65</v>
      </c>
      <c r="B74" s="2">
        <f>RTD("btg_pro_rtd","","QUOTE.EMA12","BPAC11")</f>
        <v>52.92</v>
      </c>
    </row>
    <row r="75" spans="1:2" ht="14.25" customHeight="1" thickBot="1" x14ac:dyDescent="0.3">
      <c r="A75" s="2" t="s">
        <v>66</v>
      </c>
      <c r="B75" s="2">
        <f>RTD("btg_pro_rtd","","QUOTE.EMA26","BPAC11")</f>
        <v>54.7</v>
      </c>
    </row>
    <row r="76" spans="1:2" ht="14.25" customHeight="1" thickBot="1" x14ac:dyDescent="0.3">
      <c r="A76" s="2" t="s">
        <v>67</v>
      </c>
      <c r="B76" s="2">
        <f>RTD("btg_pro_rtd","","QUOTE.MACD","BPAC11")</f>
        <v>-1.78</v>
      </c>
    </row>
    <row r="77" spans="1:2" ht="14.25" customHeight="1" thickBot="1" x14ac:dyDescent="0.3">
      <c r="A77" s="2" t="s">
        <v>68</v>
      </c>
      <c r="B77" s="2">
        <f>RTD("btg_pro_rtd","","QUOTE.MACD_SIGNAL","BPAC11")</f>
        <v>-1.47</v>
      </c>
    </row>
    <row r="78" spans="1:2" ht="14.25" customHeight="1" thickBot="1" x14ac:dyDescent="0.3">
      <c r="A78" s="2" t="s">
        <v>69</v>
      </c>
      <c r="B78" s="2">
        <f>RTD("btg_pro_rtd","","QUOTE.MACD_HISTOGRAM","BPAC11")</f>
        <v>-0.31</v>
      </c>
    </row>
    <row r="79" spans="1:2" ht="14.25" customHeight="1" thickBot="1" x14ac:dyDescent="0.3">
      <c r="A79" s="2" t="s">
        <v>70</v>
      </c>
      <c r="B79" s="2">
        <f>RTD("btg_pro_rtd","","QUOTE.RSI","BPAC11")</f>
        <v>30.57</v>
      </c>
    </row>
    <row r="80" spans="1:2" ht="14.25" customHeight="1" thickBot="1" x14ac:dyDescent="0.3">
      <c r="A80" s="2" t="s">
        <v>71</v>
      </c>
      <c r="B80" s="2">
        <f>RTD("btg_pro_rtd","","QUOTE.STOCH","BPAC11")</f>
        <v>3.88</v>
      </c>
    </row>
    <row r="81" spans="1:2" ht="14.25" customHeight="1" thickBot="1" x14ac:dyDescent="0.3">
      <c r="A81" s="2" t="s">
        <v>72</v>
      </c>
      <c r="B81" s="2">
        <f>RTD("btg_pro_rtd","","QUOTE.STOCH_SIGNAL","BPAC11")</f>
        <v>12.31</v>
      </c>
    </row>
    <row r="82" spans="1:2" ht="14.25" customHeight="1" thickBot="1" x14ac:dyDescent="0.3">
      <c r="A82" s="2" t="s">
        <v>73</v>
      </c>
      <c r="B82" s="2">
        <f>RTD("btg_pro_rtd","","QUOTE.ATR","BPAC11")</f>
        <v>1.53</v>
      </c>
    </row>
    <row r="83" spans="1:2" ht="14.25" customHeight="1" thickBot="1" x14ac:dyDescent="0.3">
      <c r="A83" s="2" t="s">
        <v>74</v>
      </c>
      <c r="B83" s="2">
        <f>RTD("btg_pro_rtd","","QUOTE.OBV","BPAC11")</f>
        <v>15430585344</v>
      </c>
    </row>
    <row r="84" spans="1:2" ht="14.25" customHeight="1" thickBot="1" x14ac:dyDescent="0.3">
      <c r="A84" s="2" t="s">
        <v>93</v>
      </c>
      <c r="B84" s="2">
        <f>RTD("btg_pro_rtd","","QUOTE.MATURITYDATE","BPAC11")</f>
        <v>25568.083333333332</v>
      </c>
    </row>
    <row r="85" spans="1:2" ht="14.25" customHeight="1" thickBot="1" x14ac:dyDescent="0.3">
      <c r="A85" s="2" t="s">
        <v>3</v>
      </c>
      <c r="B85" s="2" t="str">
        <f>RTD("btg_pro_rtd","","QUOTE.SYMBOL","BPAC11")</f>
        <v>BPAC11</v>
      </c>
    </row>
    <row r="86" spans="1:2" ht="14.25" customHeight="1" thickBot="1" x14ac:dyDescent="0.3">
      <c r="A86" s="2" t="s">
        <v>75</v>
      </c>
      <c r="B86" s="2" t="str">
        <f>RTD("btg_pro_rtd","","QUOTE.UNDERLYING_SYMBOL","BPAC11")</f>
        <v/>
      </c>
    </row>
    <row r="87" spans="1:2" ht="14.25" customHeight="1" thickBot="1" x14ac:dyDescent="0.3">
      <c r="A87" s="2" t="s">
        <v>2</v>
      </c>
      <c r="B87" s="2" t="str">
        <f>RTD("btg_pro_rtd","","QUOTE.DESCRIPTION","BPAC11")</f>
        <v>Banco BTG Pactual</v>
      </c>
    </row>
    <row r="88" spans="1:2" ht="14.25" customHeight="1" thickBot="1" x14ac:dyDescent="0.3">
      <c r="A88" s="2" t="s">
        <v>76</v>
      </c>
      <c r="B88" s="2" t="str">
        <f>RTD("btg_pro_rtd","","QUOTE.ASSET","BPAC11")</f>
        <v>BPAC</v>
      </c>
    </row>
    <row r="89" spans="1:2" ht="14.25" customHeight="1" thickBot="1" x14ac:dyDescent="0.3">
      <c r="A89" s="2" t="s">
        <v>1</v>
      </c>
      <c r="B89" s="2" t="str">
        <f>RTD("btg_pro_rtd","","QUOTE.SECURITY_TYPE","BPAC11")</f>
        <v>Unit</v>
      </c>
    </row>
    <row r="90" spans="1:2" ht="14.25" customHeight="1" thickBot="1" x14ac:dyDescent="0.3">
      <c r="A90" s="2" t="s">
        <v>94</v>
      </c>
      <c r="B90" s="2" t="str">
        <f>RTD("btg_pro_rtd","","QUOTE.EXCHANGE","BPAC11")</f>
        <v>BVSP</v>
      </c>
    </row>
    <row r="91" spans="1:2" ht="14.25" customHeight="1" thickBot="1" x14ac:dyDescent="0.3">
      <c r="A91" s="2" t="s">
        <v>77</v>
      </c>
      <c r="B91" s="2">
        <f>RTD("btg_pro_rtd","","QUOTE.SOURCE","BPAC11")</f>
        <v>53</v>
      </c>
    </row>
    <row r="92" spans="1:2" ht="14.25" customHeight="1" thickBot="1" x14ac:dyDescent="0.3">
      <c r="A92" s="2" t="s">
        <v>78</v>
      </c>
      <c r="B92" s="2" t="str">
        <f>RTD("btg_pro_rtd","","QUOTE.OPTION_TYPE","BPAC11")</f>
        <v/>
      </c>
    </row>
    <row r="93" spans="1:2" ht="14.25" customHeight="1" thickBot="1" x14ac:dyDescent="0.3">
      <c r="A93" s="2" t="s">
        <v>79</v>
      </c>
      <c r="B93" s="2" t="str">
        <f>RTD("btg_pro_rtd","","QUOTE.OPTION_STYLE","BPAC11")</f>
        <v>Other</v>
      </c>
    </row>
    <row r="94" spans="1:2" ht="14.25" customHeight="1" thickBot="1" x14ac:dyDescent="0.3">
      <c r="A94" s="2" t="s">
        <v>80</v>
      </c>
      <c r="B94" s="2">
        <f>RTD("btg_pro_rtd","","QUOTE.STRIKE_PRICE","BPAC11")</f>
        <v>0</v>
      </c>
    </row>
    <row r="95" spans="1:2" ht="14.25" customHeight="1" thickBot="1" x14ac:dyDescent="0.3">
      <c r="A95" s="2" t="s">
        <v>81</v>
      </c>
      <c r="B95" s="2" t="str">
        <f>RTD("btg_pro_rtd","","QUOTE.STATUS","BPAC11")</f>
        <v/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RTD-BTG 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Rubio Pereira</dc:creator>
  <cp:lastModifiedBy>Carlos Rubio Pereira</cp:lastModifiedBy>
  <dcterms:created xsi:type="dcterms:W3CDTF">2026-04-02T16:13:12Z</dcterms:created>
  <dcterms:modified xsi:type="dcterms:W3CDTF">2026-06-08T16:56:34Z</dcterms:modified>
</cp:coreProperties>
</file>